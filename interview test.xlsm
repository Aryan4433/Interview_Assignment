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excel\"/>
    </mc:Choice>
  </mc:AlternateContent>
  <xr:revisionPtr revIDLastSave="0" documentId="13_ncr:1_{8DFF28B3-B674-4BE7-86F8-BE9BB4CFAB7A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 1" sheetId="23" r:id="rId3"/>
    <sheet name="Task 2" sheetId="24" r:id="rId4"/>
    <sheet name="Task 3" sheetId="25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5" i="20" l="1"/>
  <c r="C23" i="20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16" i="25"/>
  <c r="E16" i="25"/>
  <c r="E17" i="25"/>
  <c r="E18" i="25"/>
  <c r="E19" i="25"/>
  <c r="E20" i="25"/>
  <c r="E21" i="25"/>
  <c r="E22" i="25"/>
  <c r="E23" i="25"/>
  <c r="E24" i="25"/>
  <c r="E25" i="25"/>
  <c r="E26" i="25"/>
  <c r="E27" i="25"/>
  <c r="E28" i="25"/>
  <c r="E29" i="25"/>
  <c r="E30" i="25"/>
  <c r="E31" i="25"/>
  <c r="E32" i="25"/>
  <c r="E33" i="25"/>
  <c r="E34" i="25"/>
  <c r="E35" i="25"/>
  <c r="E36" i="25"/>
  <c r="E37" i="25"/>
  <c r="E38" i="25"/>
  <c r="E39" i="25"/>
  <c r="E40" i="25"/>
  <c r="E41" i="25"/>
  <c r="E42" i="25"/>
  <c r="E43" i="25"/>
  <c r="E44" i="25"/>
  <c r="E45" i="25"/>
  <c r="E46" i="25"/>
  <c r="E47" i="25"/>
  <c r="E48" i="25"/>
  <c r="E49" i="25"/>
  <c r="E50" i="25"/>
  <c r="E51" i="25"/>
  <c r="E52" i="25"/>
  <c r="E53" i="25"/>
  <c r="E54" i="25"/>
  <c r="E55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16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B17" i="25" l="1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16" i="25"/>
  <c r="C30" i="24"/>
  <c r="D30" i="24"/>
  <c r="E30" i="24"/>
  <c r="F30" i="24"/>
  <c r="B30" i="24"/>
  <c r="C29" i="24"/>
  <c r="D29" i="24"/>
  <c r="E29" i="24"/>
  <c r="F29" i="24"/>
  <c r="B29" i="24"/>
  <c r="C28" i="24"/>
  <c r="D28" i="24"/>
  <c r="E28" i="24"/>
  <c r="F28" i="24"/>
  <c r="B28" i="24"/>
  <c r="F27" i="24"/>
  <c r="E27" i="24"/>
  <c r="D27" i="24"/>
  <c r="C27" i="24"/>
  <c r="B27" i="24"/>
  <c r="F26" i="24"/>
  <c r="E26" i="24"/>
  <c r="D26" i="24"/>
  <c r="C26" i="24"/>
  <c r="B26" i="24"/>
  <c r="F25" i="24"/>
  <c r="E25" i="24"/>
  <c r="D25" i="24"/>
  <c r="C25" i="24"/>
  <c r="B25" i="24"/>
  <c r="F24" i="24"/>
  <c r="E24" i="24"/>
  <c r="D24" i="24"/>
  <c r="C24" i="24"/>
  <c r="B24" i="24"/>
  <c r="F23" i="24"/>
  <c r="E23" i="24"/>
  <c r="D23" i="24"/>
  <c r="C23" i="24"/>
  <c r="B23" i="24"/>
  <c r="F22" i="24"/>
  <c r="E22" i="24"/>
  <c r="D22" i="24"/>
  <c r="C22" i="24"/>
  <c r="B22" i="24"/>
  <c r="F21" i="24"/>
  <c r="E21" i="24"/>
  <c r="D21" i="24"/>
  <c r="C21" i="24"/>
  <c r="B21" i="24"/>
  <c r="F20" i="24"/>
  <c r="E20" i="24"/>
  <c r="D20" i="24"/>
  <c r="C20" i="24"/>
  <c r="B20" i="24"/>
  <c r="F19" i="24"/>
  <c r="E19" i="24"/>
  <c r="D19" i="24"/>
  <c r="C19" i="24"/>
  <c r="B19" i="24"/>
  <c r="F18" i="24"/>
  <c r="E18" i="24"/>
  <c r="D18" i="24"/>
  <c r="C18" i="24"/>
  <c r="B18" i="24"/>
  <c r="F17" i="24"/>
  <c r="E17" i="24"/>
  <c r="D17" i="24"/>
  <c r="C17" i="24"/>
  <c r="B17" i="24"/>
  <c r="F16" i="24"/>
  <c r="E16" i="24"/>
  <c r="D16" i="24"/>
  <c r="C16" i="24"/>
  <c r="B16" i="24"/>
  <c r="F15" i="24"/>
  <c r="E15" i="24"/>
  <c r="D15" i="24"/>
  <c r="C15" i="24"/>
  <c r="B15" i="24"/>
  <c r="F14" i="24"/>
  <c r="E14" i="24"/>
  <c r="D14" i="24"/>
  <c r="C14" i="24"/>
  <c r="B14" i="24"/>
  <c r="F13" i="24"/>
  <c r="E13" i="24"/>
  <c r="D13" i="24"/>
  <c r="C13" i="24"/>
  <c r="B13" i="24"/>
  <c r="F12" i="24"/>
  <c r="E12" i="24"/>
  <c r="D12" i="24"/>
  <c r="C12" i="24"/>
  <c r="B12" i="24"/>
  <c r="F11" i="24"/>
  <c r="E11" i="24"/>
  <c r="D11" i="24"/>
  <c r="C11" i="24"/>
  <c r="B11" i="24"/>
  <c r="F10" i="24"/>
  <c r="E10" i="24"/>
  <c r="D10" i="24"/>
  <c r="C10" i="24"/>
  <c r="B10" i="24"/>
  <c r="F9" i="24"/>
  <c r="E9" i="24"/>
  <c r="D9" i="24"/>
  <c r="C9" i="24"/>
  <c r="B9" i="24"/>
  <c r="F8" i="24"/>
  <c r="E8" i="24"/>
  <c r="D8" i="24"/>
  <c r="C8" i="24"/>
  <c r="B8" i="24"/>
  <c r="F7" i="24"/>
  <c r="E7" i="24"/>
  <c r="D7" i="24"/>
  <c r="C7" i="24"/>
  <c r="B7" i="24"/>
  <c r="F6" i="24"/>
  <c r="E6" i="24"/>
  <c r="D6" i="24"/>
  <c r="C6" i="24"/>
  <c r="B6" i="24"/>
  <c r="C5" i="23"/>
  <c r="C24" i="20"/>
  <c r="C26" i="20"/>
  <c r="C27" i="20"/>
  <c r="C28" i="20"/>
  <c r="C29" i="20"/>
  <c r="C30" i="20"/>
  <c r="C31" i="20"/>
  <c r="C32" i="20"/>
  <c r="C33" i="20"/>
  <c r="C34" i="20"/>
  <c r="C35" i="20"/>
  <c r="L11" i="20"/>
  <c r="L12" i="20"/>
  <c r="L13" i="20"/>
  <c r="L14" i="20"/>
  <c r="L15" i="20"/>
  <c r="L16" i="20"/>
  <c r="L17" i="20"/>
  <c r="L18" i="20"/>
  <c r="L10" i="20"/>
  <c r="K11" i="20"/>
  <c r="K12" i="20"/>
  <c r="K13" i="20"/>
  <c r="K14" i="20"/>
  <c r="K15" i="20"/>
  <c r="K16" i="20"/>
  <c r="K17" i="20"/>
  <c r="K18" i="20"/>
  <c r="K10" i="20"/>
  <c r="C22" i="19" a="1"/>
  <c r="C22" i="19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<sst xmlns="http://schemas.openxmlformats.org/spreadsheetml/2006/main" count="324" uniqueCount="178">
  <si>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</si>
  <si>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</si>
  <si>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</si>
  <si>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</si>
  <si>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</si>
  <si>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</si>
  <si>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</si>
  <si>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</si>
  <si>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</si>
  <si>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</si>
  <si>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</si>
  <si>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</si>
  <si>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</si>
  <si>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</si>
  <si>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</si>
  <si>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</si>
  <si>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</si>
  <si>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</si>
  <si>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</si>
  <si>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</si>
  <si>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</si>
  <si>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</si>
  <si>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</si>
  <si>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</si>
  <si>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</si>
  <si>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</si>
  <si>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</si>
  <si>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</si>
  <si>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</si>
  <si>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</si>
  <si>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</si>
  <si>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</si>
  <si>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</si>
  <si>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</si>
  <si>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</si>
  <si>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</si>
  <si>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</si>
  <si>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</si>
  <si>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</si>
  <si>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</si>
  <si>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</si>
  <si>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</si>
  <si>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</si>
  <si>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</si>
  <si>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</si>
  <si>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</si>
  <si>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</si>
  <si>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</si>
  <si>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</si>
  <si>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</si>
  <si>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</si>
  <si>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</si>
  <si>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</si>
  <si>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</si>
  <si>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</si>
  <si>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</si>
  <si>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</si>
  <si>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</si>
  <si>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</si>
  <si>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</si>
  <si>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</si>
  <si>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</si>
  <si>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</si>
  <si>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</si>
  <si>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</si>
  <si>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</si>
  <si>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</si>
  <si>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</si>
  <si>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</si>
  <si>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</si>
  <si>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</si>
  <si>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</si>
  <si>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</si>
  <si>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</si>
  <si>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</si>
  <si>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</si>
  <si>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</si>
  <si>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</si>
  <si>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</si>
  <si>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</si>
  <si>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</si>
  <si>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</si>
  <si>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</si>
  <si>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</si>
  <si>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</si>
  <si>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</si>
  <si>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</si>
  <si>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</si>
  <si>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</si>
  <si>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</si>
  <si>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</si>
  <si>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</si>
  <si>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</si>
  <si>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</si>
  <si>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</si>
  <si>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</si>
  <si>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</si>
  <si>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</si>
  <si>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</si>
  <si>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</si>
  <si>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</si>
  <si>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</si>
  <si>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</si>
  <si>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</si>
  <si>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</si>
  <si>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</si>
  <si>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</si>
  <si>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</si>
  <si>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</si>
  <si>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</si>
  <si>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</si>
  <si>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</si>
  <si>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</si>
  <si>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</si>
  <si>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</si>
  <si>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</si>
  <si>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</si>
  <si>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</si>
  <si>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</si>
  <si>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</si>
  <si>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</si>
  <si>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</si>
  <si>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</si>
  <si>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</si>
  <si>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</si>
  <si>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</si>
  <si>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</si>
  <si>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</si>
  <si>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</si>
  <si>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</si>
  <si>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</si>
  <si>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</si>
  <si>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</si>
  <si>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</si>
  <si>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</si>
  <si>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</si>
  <si>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</si>
  <si>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</si>
  <si>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</si>
  <si>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</si>
  <si>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</si>
  <si>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</si>
  <si>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</si>
  <si>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</si>
  <si>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</si>
  <si>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</si>
  <si>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</si>
  <si>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</si>
  <si>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</si>
  <si>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</si>
  <si>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</si>
  <si>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</si>
  <si>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</si>
  <si>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</si>
  <si>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</si>
  <si>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</si>
  <si>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</si>
  <si>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</si>
  <si>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</si>
  <si>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</si>
  <si>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</si>
  <si>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</si>
  <si>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</si>
  <si>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</si>
  <si>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</si>
  <si>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</si>
  <si>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</si>
  <si>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</si>
  <si>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</si>
  <si>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</si>
  <si>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</si>
  <si>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</si>
  <si>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</si>
  <si>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</si>
  <si>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</si>
  <si>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</si>
  <si>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col_2</t>
  </si>
  <si>
    <t>21016-Mony-1-Sundy-25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</si>
</sst>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5" formatCode="yyyy\-mm\-dd;@"/>
    <numFmt numFmtId="169" formatCode="[$-F400]h:mm:ss\ AM/PM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name val="Times New Roman"/>
      <charset val="204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3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0" fontId="8" fillId="0" borderId="1" xfId="0" applyFont="1" applyBorder="1"/>
    <xf numFmtId="0" fontId="9" fillId="0" borderId="1" xfId="0" applyFont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9" fontId="0" fillId="0" borderId="0" xfId="0" applyNumberFormat="1"/>
    <xf numFmtId="14" fontId="0" fillId="0" borderId="0" xfId="0" applyNumberFormat="1"/>
    <xf numFmtId="0" fontId="0" fillId="5" borderId="1" xfId="0" applyFill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F12" sqref="F12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0" t="s">
        <v>107</v>
      </c>
    </row>
    <row r="2" spans="1:3" x14ac:dyDescent="0.3">
      <c r="A2" s="2" t="s">
        <v>108</v>
      </c>
    </row>
    <row r="3" spans="1:3" x14ac:dyDescent="0.3">
      <c r="A3" s="2" t="s">
        <v>109</v>
      </c>
    </row>
    <row r="4" spans="1:3" ht="14.4" x14ac:dyDescent="0.3">
      <c r="A4" s="2" t="s">
        <v>110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27" t="s">
        <v>170</v>
      </c>
      <c r="B9" s="23" t="s">
        <v>168</v>
      </c>
    </row>
    <row r="10" spans="1:3" x14ac:dyDescent="0.3">
      <c r="A10" s="26" t="s">
        <v>171</v>
      </c>
      <c r="B10" s="28">
        <v>25</v>
      </c>
    </row>
    <row r="11" spans="1:3" x14ac:dyDescent="0.3">
      <c r="A11" s="26" t="s">
        <v>54</v>
      </c>
      <c r="B11" s="28">
        <v>30</v>
      </c>
    </row>
    <row r="12" spans="1:3" x14ac:dyDescent="0.3">
      <c r="A12" s="26" t="s">
        <v>55</v>
      </c>
      <c r="B12" s="28">
        <v>10</v>
      </c>
    </row>
    <row r="13" spans="1:3" x14ac:dyDescent="0.3">
      <c r="A13" s="26" t="s">
        <v>84</v>
      </c>
      <c r="B13" s="28">
        <v>20</v>
      </c>
    </row>
    <row r="14" spans="1:3" x14ac:dyDescent="0.3">
      <c r="A14" s="26" t="s">
        <v>97</v>
      </c>
      <c r="B14" s="28">
        <v>40</v>
      </c>
    </row>
    <row r="15" spans="1:3" x14ac:dyDescent="0.3">
      <c r="A15" s="29" t="s">
        <v>169</v>
      </c>
      <c r="B15" s="22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T1" zoomScaleNormal="100" workbookViewId="0">
      <pane ySplit="1" topLeftCell="A13" activePane="bottomLeft" state="frozen"/>
      <selection pane="bottomLeft" activeCell="X1" sqref="X1:X1048576"/>
    </sheetView>
  </sheetViews>
  <sheetFormatPr defaultColWidth="9" defaultRowHeight="13.2" x14ac:dyDescent="0.25"/>
  <cols>
    <col min="1" max="1" width="25.44140625" bestFit="1" customWidth="1"/>
    <col min="2" max="2" width="7.44140625" bestFit="1" customWidth="1"/>
    <col min="3" max="3" width="9.77734375" bestFit="1" customWidth="1"/>
    <col min="4" max="4" width="13.6640625" style="36" bestFit="1" customWidth="1"/>
    <col min="5" max="5" width="9.21875" bestFit="1" customWidth="1"/>
    <col min="6" max="6" width="10.44140625" bestFit="1" customWidth="1"/>
    <col min="7" max="9" width="12.77734375" bestFit="1" customWidth="1"/>
    <col min="10" max="12" width="13" bestFit="1" customWidth="1"/>
    <col min="13" max="15" width="14.21875" bestFit="1" customWidth="1"/>
    <col min="16" max="18" width="14.44140625" bestFit="1" customWidth="1"/>
    <col min="19" max="20" width="18.77734375" bestFit="1" customWidth="1"/>
    <col min="21" max="23" width="19" bestFit="1" customWidth="1"/>
    <col min="24" max="24" width="16.109375" style="37" bestFit="1" customWidth="1"/>
  </cols>
  <sheetData>
    <row r="1" spans="1:24" ht="14.7" customHeight="1" x14ac:dyDescent="0.25">
      <c r="A1" t="s">
        <v>63</v>
      </c>
      <c r="B1" t="s">
        <v>43</v>
      </c>
      <c r="C1" t="s">
        <v>0</v>
      </c>
      <c r="D1" s="36" t="s">
        <v>1</v>
      </c>
      <c r="E1" t="s">
        <v>2</v>
      </c>
      <c r="F1" t="s">
        <v>3</v>
      </c>
      <c r="G1" t="s">
        <v>78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74</v>
      </c>
      <c r="S1" t="s">
        <v>79</v>
      </c>
      <c r="T1" t="s">
        <v>75</v>
      </c>
      <c r="U1" t="s">
        <v>80</v>
      </c>
      <c r="V1" t="s">
        <v>76</v>
      </c>
      <c r="W1" t="s">
        <v>77</v>
      </c>
      <c r="X1" s="37" t="s">
        <v>104</v>
      </c>
    </row>
    <row r="2" spans="1:24" x14ac:dyDescent="0.25">
      <c r="A2" t="s">
        <v>40</v>
      </c>
      <c r="B2">
        <v>20000</v>
      </c>
      <c r="C2" t="s">
        <v>5</v>
      </c>
      <c r="D2" s="36">
        <v>0</v>
      </c>
      <c r="E2" t="s">
        <v>6</v>
      </c>
      <c r="F2">
        <v>0.99998842592592596</v>
      </c>
      <c r="G2">
        <v>2.7</v>
      </c>
      <c r="H2">
        <v>3.6</v>
      </c>
      <c r="I2">
        <v>4.2</v>
      </c>
      <c r="J2">
        <v>-1</v>
      </c>
      <c r="K2">
        <v>-1</v>
      </c>
      <c r="L2">
        <v>-1</v>
      </c>
      <c r="M2">
        <v>5.3</v>
      </c>
      <c r="N2">
        <v>7.6</v>
      </c>
      <c r="O2">
        <v>8.9</v>
      </c>
      <c r="P2">
        <v>2.7</v>
      </c>
      <c r="Q2">
        <v>3.6</v>
      </c>
      <c r="R2">
        <v>4.2</v>
      </c>
      <c r="S2">
        <v>7.6</v>
      </c>
      <c r="T2">
        <v>8.9</v>
      </c>
      <c r="U2">
        <v>3.6</v>
      </c>
      <c r="V2">
        <v>4.2</v>
      </c>
      <c r="W2">
        <v>4.2</v>
      </c>
      <c r="X2" s="37">
        <v>45051</v>
      </c>
    </row>
    <row r="3" spans="1:24" x14ac:dyDescent="0.25">
      <c r="A3" t="s">
        <v>4</v>
      </c>
      <c r="B3">
        <v>20002</v>
      </c>
      <c r="C3" t="s">
        <v>5</v>
      </c>
      <c r="D3" s="36">
        <v>0</v>
      </c>
      <c r="E3" t="s">
        <v>6</v>
      </c>
      <c r="F3">
        <v>0.99998842592592596</v>
      </c>
      <c r="G3">
        <v>2.7</v>
      </c>
      <c r="H3">
        <v>3.6</v>
      </c>
      <c r="I3">
        <v>4.2</v>
      </c>
      <c r="J3">
        <v>-1</v>
      </c>
      <c r="K3">
        <v>-1</v>
      </c>
      <c r="L3">
        <v>-1</v>
      </c>
      <c r="M3">
        <v>5.3</v>
      </c>
      <c r="N3">
        <v>7.6</v>
      </c>
      <c r="O3">
        <v>8.9</v>
      </c>
      <c r="P3">
        <v>2.7</v>
      </c>
      <c r="Q3">
        <v>3.6</v>
      </c>
      <c r="R3">
        <v>4.2</v>
      </c>
      <c r="S3">
        <v>7.6</v>
      </c>
      <c r="T3">
        <v>8.9</v>
      </c>
      <c r="U3">
        <v>3.6</v>
      </c>
      <c r="V3">
        <v>4.2</v>
      </c>
      <c r="W3">
        <v>4.2</v>
      </c>
      <c r="X3" s="37">
        <v>45048</v>
      </c>
    </row>
    <row r="4" spans="1:24" x14ac:dyDescent="0.25">
      <c r="A4" t="s">
        <v>7</v>
      </c>
      <c r="B4">
        <v>20004</v>
      </c>
      <c r="C4" t="s">
        <v>5</v>
      </c>
      <c r="D4" s="36">
        <v>0</v>
      </c>
      <c r="E4" t="s">
        <v>6</v>
      </c>
      <c r="F4">
        <v>0.99998842592592596</v>
      </c>
      <c r="G4">
        <v>3.6</v>
      </c>
      <c r="H4">
        <v>5.4</v>
      </c>
      <c r="I4">
        <v>5.8</v>
      </c>
      <c r="J4">
        <v>-1</v>
      </c>
      <c r="K4">
        <v>-1</v>
      </c>
      <c r="L4">
        <v>-1</v>
      </c>
      <c r="M4">
        <v>7.6</v>
      </c>
      <c r="N4">
        <v>11.1</v>
      </c>
      <c r="O4">
        <v>12.2</v>
      </c>
      <c r="P4">
        <v>3.6</v>
      </c>
      <c r="Q4">
        <v>5.4</v>
      </c>
      <c r="R4">
        <v>5.8</v>
      </c>
      <c r="S4">
        <v>11.1</v>
      </c>
      <c r="T4">
        <v>12.2</v>
      </c>
      <c r="U4">
        <v>5.4</v>
      </c>
      <c r="V4">
        <v>5.8</v>
      </c>
      <c r="W4">
        <v>5.8</v>
      </c>
      <c r="X4" s="37">
        <v>45055</v>
      </c>
    </row>
    <row r="5" spans="1:24" x14ac:dyDescent="0.25">
      <c r="A5" t="s">
        <v>8</v>
      </c>
      <c r="B5">
        <v>20006</v>
      </c>
      <c r="C5" t="s">
        <v>5</v>
      </c>
      <c r="D5" s="36">
        <v>0</v>
      </c>
      <c r="E5" t="s">
        <v>6</v>
      </c>
      <c r="F5">
        <v>0.99998842592592596</v>
      </c>
      <c r="G5">
        <v>4.9000000000000004</v>
      </c>
      <c r="H5">
        <v>6.6</v>
      </c>
      <c r="I5">
        <v>8.1</v>
      </c>
      <c r="J5">
        <v>-1</v>
      </c>
      <c r="K5">
        <v>-1</v>
      </c>
      <c r="L5">
        <v>-1</v>
      </c>
      <c r="M5">
        <v>10</v>
      </c>
      <c r="N5">
        <v>13.3</v>
      </c>
      <c r="O5">
        <v>17</v>
      </c>
      <c r="P5">
        <v>4.9000000000000004</v>
      </c>
      <c r="Q5">
        <v>6.6</v>
      </c>
      <c r="R5">
        <v>8.1</v>
      </c>
      <c r="S5">
        <v>13.3</v>
      </c>
      <c r="T5">
        <v>17</v>
      </c>
      <c r="U5">
        <v>6.6</v>
      </c>
      <c r="V5">
        <v>8.1</v>
      </c>
      <c r="W5">
        <v>8.1</v>
      </c>
      <c r="X5" s="37">
        <v>45059</v>
      </c>
    </row>
    <row r="6" spans="1:24" x14ac:dyDescent="0.25">
      <c r="A6" t="s">
        <v>9</v>
      </c>
      <c r="B6">
        <v>20008</v>
      </c>
      <c r="C6" t="s">
        <v>5</v>
      </c>
      <c r="D6" s="36">
        <v>0</v>
      </c>
      <c r="E6" t="s">
        <v>6</v>
      </c>
      <c r="F6">
        <v>0.99998842592592596</v>
      </c>
      <c r="G6">
        <v>6.6</v>
      </c>
      <c r="H6">
        <v>8.8000000000000007</v>
      </c>
      <c r="I6">
        <v>11</v>
      </c>
      <c r="J6">
        <v>-1</v>
      </c>
      <c r="K6">
        <v>-1</v>
      </c>
      <c r="L6">
        <v>-1</v>
      </c>
      <c r="M6">
        <v>13.3</v>
      </c>
      <c r="N6">
        <v>18</v>
      </c>
      <c r="O6">
        <v>22.5</v>
      </c>
      <c r="P6">
        <v>6.6</v>
      </c>
      <c r="Q6">
        <v>8.8000000000000007</v>
      </c>
      <c r="R6">
        <v>11</v>
      </c>
      <c r="S6">
        <v>18</v>
      </c>
      <c r="T6">
        <v>22.5</v>
      </c>
      <c r="U6">
        <v>8.8000000000000007</v>
      </c>
      <c r="V6">
        <v>11</v>
      </c>
      <c r="W6">
        <v>11</v>
      </c>
      <c r="X6" s="37">
        <v>45076</v>
      </c>
    </row>
    <row r="7" spans="1:24" x14ac:dyDescent="0.25">
      <c r="A7" t="s">
        <v>10</v>
      </c>
      <c r="B7">
        <v>20010</v>
      </c>
      <c r="C7" t="s">
        <v>5</v>
      </c>
      <c r="D7" s="36">
        <v>0</v>
      </c>
      <c r="E7" t="s">
        <v>6</v>
      </c>
      <c r="F7">
        <v>0.99998842592592596</v>
      </c>
      <c r="G7">
        <v>7.1</v>
      </c>
      <c r="H7">
        <v>10.4</v>
      </c>
      <c r="I7">
        <v>12.8</v>
      </c>
      <c r="J7">
        <v>-1</v>
      </c>
      <c r="K7">
        <v>-1</v>
      </c>
      <c r="L7">
        <v>-1</v>
      </c>
      <c r="M7">
        <v>14.4</v>
      </c>
      <c r="N7">
        <v>21.5</v>
      </c>
      <c r="O7">
        <v>26.1</v>
      </c>
      <c r="P7">
        <v>7.1</v>
      </c>
      <c r="Q7">
        <v>10.4</v>
      </c>
      <c r="R7">
        <v>12.8</v>
      </c>
      <c r="S7">
        <v>21.5</v>
      </c>
      <c r="T7">
        <v>26.1</v>
      </c>
      <c r="U7">
        <v>10.4</v>
      </c>
      <c r="V7">
        <v>12.8</v>
      </c>
      <c r="W7">
        <v>12.8</v>
      </c>
      <c r="X7" s="37">
        <v>45057</v>
      </c>
    </row>
    <row r="8" spans="1:24" x14ac:dyDescent="0.25">
      <c r="A8" t="s">
        <v>11</v>
      </c>
      <c r="B8">
        <v>20012</v>
      </c>
      <c r="C8" t="s">
        <v>5</v>
      </c>
      <c r="D8" s="36">
        <v>0</v>
      </c>
      <c r="E8" t="s">
        <v>6</v>
      </c>
      <c r="F8">
        <v>0.99998842592592596</v>
      </c>
      <c r="G8">
        <v>9.4</v>
      </c>
      <c r="H8">
        <v>13.8</v>
      </c>
      <c r="I8">
        <v>16.100000000000001</v>
      </c>
      <c r="J8">
        <v>-1</v>
      </c>
      <c r="K8">
        <v>-1</v>
      </c>
      <c r="L8">
        <v>-1</v>
      </c>
      <c r="M8">
        <v>19.2</v>
      </c>
      <c r="N8">
        <v>28.3</v>
      </c>
      <c r="O8">
        <v>32.799999999999997</v>
      </c>
      <c r="P8">
        <v>9.4</v>
      </c>
      <c r="Q8">
        <v>13.8</v>
      </c>
      <c r="R8">
        <v>16.100000000000001</v>
      </c>
      <c r="S8">
        <v>28.3</v>
      </c>
      <c r="T8">
        <v>32.799999999999997</v>
      </c>
      <c r="U8">
        <v>13.8</v>
      </c>
      <c r="V8">
        <v>16.100000000000001</v>
      </c>
      <c r="W8">
        <v>16.100000000000001</v>
      </c>
      <c r="X8" s="37">
        <v>45052</v>
      </c>
    </row>
    <row r="9" spans="1:24" x14ac:dyDescent="0.25">
      <c r="A9" t="s">
        <v>12</v>
      </c>
      <c r="B9">
        <v>20014</v>
      </c>
      <c r="C9" t="s">
        <v>5</v>
      </c>
      <c r="D9" s="36">
        <v>0</v>
      </c>
      <c r="E9" t="s">
        <v>6</v>
      </c>
      <c r="F9">
        <v>0.99998842592592596</v>
      </c>
      <c r="G9">
        <v>11.6</v>
      </c>
      <c r="H9">
        <v>17.3</v>
      </c>
      <c r="I9">
        <v>21.3</v>
      </c>
      <c r="J9">
        <v>-1</v>
      </c>
      <c r="K9">
        <v>-1</v>
      </c>
      <c r="L9">
        <v>-1</v>
      </c>
      <c r="M9">
        <v>23.6</v>
      </c>
      <c r="N9">
        <v>35.200000000000003</v>
      </c>
      <c r="O9">
        <v>43</v>
      </c>
      <c r="P9">
        <v>11.6</v>
      </c>
      <c r="Q9">
        <v>17.3</v>
      </c>
      <c r="R9">
        <v>21.3</v>
      </c>
      <c r="S9">
        <v>35.200000000000003</v>
      </c>
      <c r="T9">
        <v>43</v>
      </c>
      <c r="U9">
        <v>17.3</v>
      </c>
      <c r="V9">
        <v>21.3</v>
      </c>
      <c r="W9">
        <v>21.3</v>
      </c>
      <c r="X9" s="37">
        <v>45098</v>
      </c>
    </row>
    <row r="10" spans="1:24" x14ac:dyDescent="0.25">
      <c r="A10" t="s">
        <v>13</v>
      </c>
      <c r="B10">
        <v>20016</v>
      </c>
      <c r="C10" t="s">
        <v>5</v>
      </c>
      <c r="D10" s="36">
        <v>0</v>
      </c>
      <c r="E10" t="s">
        <v>6</v>
      </c>
      <c r="F10">
        <v>0.99998842592592596</v>
      </c>
      <c r="G10">
        <v>16.100000000000001</v>
      </c>
      <c r="H10">
        <v>24.1</v>
      </c>
      <c r="I10">
        <v>29.1</v>
      </c>
      <c r="J10">
        <v>-1</v>
      </c>
      <c r="K10">
        <v>-1</v>
      </c>
      <c r="L10">
        <v>-1</v>
      </c>
      <c r="M10">
        <v>32.799999999999997</v>
      </c>
      <c r="N10">
        <v>49</v>
      </c>
      <c r="O10">
        <v>59</v>
      </c>
      <c r="P10">
        <v>16.100000000000001</v>
      </c>
      <c r="Q10">
        <v>24.1</v>
      </c>
      <c r="R10">
        <v>29.1</v>
      </c>
      <c r="S10">
        <v>49</v>
      </c>
      <c r="T10">
        <v>59</v>
      </c>
      <c r="U10">
        <v>24.1</v>
      </c>
      <c r="V10">
        <v>29.1</v>
      </c>
      <c r="W10">
        <v>29.1</v>
      </c>
      <c r="X10" s="37">
        <v>45092</v>
      </c>
    </row>
    <row r="11" spans="1:24" x14ac:dyDescent="0.25">
      <c r="A11" t="s">
        <v>14</v>
      </c>
      <c r="B11">
        <v>20018</v>
      </c>
      <c r="C11" t="s">
        <v>5</v>
      </c>
      <c r="D11" s="36">
        <v>0</v>
      </c>
      <c r="E11" t="s">
        <v>6</v>
      </c>
      <c r="F11">
        <v>0.99998842592592596</v>
      </c>
      <c r="G11">
        <v>18.399999999999999</v>
      </c>
      <c r="H11">
        <v>27.5</v>
      </c>
      <c r="I11">
        <v>33.799999999999997</v>
      </c>
      <c r="J11">
        <v>-1</v>
      </c>
      <c r="K11">
        <v>-1</v>
      </c>
      <c r="L11">
        <v>-1</v>
      </c>
      <c r="M11">
        <v>37.200000000000003</v>
      </c>
      <c r="N11">
        <v>55.6</v>
      </c>
      <c r="O11">
        <v>67.900000000000006</v>
      </c>
      <c r="P11">
        <v>18.399999999999999</v>
      </c>
      <c r="Q11">
        <v>27.5</v>
      </c>
      <c r="R11">
        <v>33.799999999999997</v>
      </c>
      <c r="S11">
        <v>55.6</v>
      </c>
      <c r="T11">
        <v>67.900000000000006</v>
      </c>
      <c r="U11">
        <v>27.5</v>
      </c>
      <c r="V11">
        <v>33.799999999999997</v>
      </c>
      <c r="W11">
        <v>33.799999999999997</v>
      </c>
      <c r="X11" s="37">
        <v>45104</v>
      </c>
    </row>
    <row r="12" spans="1:24" x14ac:dyDescent="0.25">
      <c r="A12" t="s">
        <v>15</v>
      </c>
      <c r="B12">
        <v>20020</v>
      </c>
      <c r="C12" t="s">
        <v>5</v>
      </c>
      <c r="D12" s="36">
        <v>0</v>
      </c>
      <c r="E12" t="s">
        <v>6</v>
      </c>
      <c r="F12">
        <v>0.99998842592592596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 s="37">
        <v>45116</v>
      </c>
    </row>
    <row r="13" spans="1:24" x14ac:dyDescent="0.25">
      <c r="A13" t="s">
        <v>16</v>
      </c>
      <c r="B13">
        <v>20022</v>
      </c>
      <c r="C13" t="s">
        <v>5</v>
      </c>
      <c r="D13" s="36">
        <v>0</v>
      </c>
      <c r="E13" t="s">
        <v>6</v>
      </c>
      <c r="F13">
        <v>0.99998842592592596</v>
      </c>
      <c r="G13">
        <v>21.9</v>
      </c>
      <c r="H13">
        <v>32.1</v>
      </c>
      <c r="I13">
        <v>40.1</v>
      </c>
      <c r="J13">
        <v>-1</v>
      </c>
      <c r="K13">
        <v>-1</v>
      </c>
      <c r="L13">
        <v>-1</v>
      </c>
      <c r="M13">
        <v>42.3</v>
      </c>
      <c r="N13">
        <v>61.5</v>
      </c>
      <c r="O13">
        <v>76.599999999999994</v>
      </c>
      <c r="P13">
        <v>21.9</v>
      </c>
      <c r="Q13">
        <v>32.1</v>
      </c>
      <c r="R13">
        <v>40.1</v>
      </c>
      <c r="S13">
        <v>61.5</v>
      </c>
      <c r="T13">
        <v>76.599999999999994</v>
      </c>
      <c r="U13">
        <v>32.1</v>
      </c>
      <c r="V13">
        <v>40.1</v>
      </c>
      <c r="W13">
        <v>40.1</v>
      </c>
      <c r="X13" s="37">
        <v>45110</v>
      </c>
    </row>
    <row r="14" spans="1:24" x14ac:dyDescent="0.25">
      <c r="A14" t="s">
        <v>17</v>
      </c>
      <c r="B14">
        <v>20024</v>
      </c>
      <c r="C14" t="s">
        <v>5</v>
      </c>
      <c r="D14" s="36">
        <v>0</v>
      </c>
      <c r="E14" t="s">
        <v>6</v>
      </c>
      <c r="F14">
        <v>0.99998842592592596</v>
      </c>
      <c r="G14">
        <v>23.5</v>
      </c>
      <c r="H14">
        <v>34.700000000000003</v>
      </c>
      <c r="I14">
        <v>42.7</v>
      </c>
      <c r="J14">
        <v>-1</v>
      </c>
      <c r="K14">
        <v>-1</v>
      </c>
      <c r="L14">
        <v>-1</v>
      </c>
      <c r="M14">
        <v>47.7</v>
      </c>
      <c r="N14">
        <v>70.8</v>
      </c>
      <c r="O14">
        <v>86.6</v>
      </c>
      <c r="P14">
        <v>23.5</v>
      </c>
      <c r="Q14">
        <v>34.700000000000003</v>
      </c>
      <c r="R14">
        <v>42.7</v>
      </c>
      <c r="S14">
        <v>70.8</v>
      </c>
      <c r="T14">
        <v>86.6</v>
      </c>
      <c r="U14">
        <v>34.700000000000003</v>
      </c>
      <c r="V14">
        <v>42.7</v>
      </c>
      <c r="W14">
        <v>42.7</v>
      </c>
      <c r="X14" s="37">
        <v>45095</v>
      </c>
    </row>
    <row r="15" spans="1:24" x14ac:dyDescent="0.25">
      <c r="A15" t="s">
        <v>18</v>
      </c>
      <c r="B15">
        <v>20026</v>
      </c>
      <c r="C15" t="s">
        <v>5</v>
      </c>
      <c r="D15" s="36">
        <v>0</v>
      </c>
      <c r="E15" t="s">
        <v>6</v>
      </c>
      <c r="F15">
        <v>0.99998842592592596</v>
      </c>
      <c r="G15">
        <v>26.8</v>
      </c>
      <c r="H15">
        <v>39.299999999999997</v>
      </c>
      <c r="I15">
        <v>47.9</v>
      </c>
      <c r="J15">
        <v>-1</v>
      </c>
      <c r="K15">
        <v>-1</v>
      </c>
      <c r="L15">
        <v>-1</v>
      </c>
      <c r="M15">
        <v>54.6</v>
      </c>
      <c r="N15">
        <v>79.599999999999994</v>
      </c>
      <c r="O15">
        <v>96.8</v>
      </c>
      <c r="P15">
        <v>26.8</v>
      </c>
      <c r="Q15">
        <v>39.299999999999997</v>
      </c>
      <c r="R15">
        <v>47.9</v>
      </c>
      <c r="S15">
        <v>79.599999999999994</v>
      </c>
      <c r="T15">
        <v>96.8</v>
      </c>
      <c r="U15">
        <v>39.299999999999997</v>
      </c>
      <c r="V15">
        <v>47.9</v>
      </c>
      <c r="W15">
        <v>47.9</v>
      </c>
      <c r="X15" s="37">
        <v>45113</v>
      </c>
    </row>
    <row r="16" spans="1:24" x14ac:dyDescent="0.25">
      <c r="A16" t="s">
        <v>19</v>
      </c>
      <c r="B16">
        <v>20028</v>
      </c>
      <c r="C16" t="s">
        <v>5</v>
      </c>
      <c r="D16" s="36">
        <v>0</v>
      </c>
      <c r="E16" t="s">
        <v>6</v>
      </c>
      <c r="F16">
        <v>0.99998842592592596</v>
      </c>
      <c r="G16">
        <v>28</v>
      </c>
      <c r="H16">
        <v>41</v>
      </c>
      <c r="I16">
        <v>50.1</v>
      </c>
      <c r="J16">
        <v>-1</v>
      </c>
      <c r="K16">
        <v>-1</v>
      </c>
      <c r="L16">
        <v>-1</v>
      </c>
      <c r="M16">
        <v>56.7</v>
      </c>
      <c r="N16">
        <v>83.2</v>
      </c>
      <c r="O16">
        <v>101.3</v>
      </c>
      <c r="P16">
        <v>28</v>
      </c>
      <c r="Q16">
        <v>41</v>
      </c>
      <c r="R16">
        <v>50.1</v>
      </c>
      <c r="S16">
        <v>83.2</v>
      </c>
      <c r="T16">
        <v>101.3</v>
      </c>
      <c r="U16">
        <v>41</v>
      </c>
      <c r="V16">
        <v>50.1</v>
      </c>
      <c r="W16">
        <v>50.1</v>
      </c>
      <c r="X16" s="37">
        <v>45063</v>
      </c>
    </row>
    <row r="17" spans="1:24" x14ac:dyDescent="0.25">
      <c r="A17" t="s">
        <v>20</v>
      </c>
      <c r="B17">
        <v>20030</v>
      </c>
      <c r="C17" t="s">
        <v>5</v>
      </c>
      <c r="D17" s="36">
        <v>0</v>
      </c>
      <c r="E17" t="s">
        <v>6</v>
      </c>
      <c r="F17">
        <v>0.99998842592592596</v>
      </c>
      <c r="G17">
        <v>28.5</v>
      </c>
      <c r="H17">
        <v>42.3</v>
      </c>
      <c r="I17">
        <v>52.3</v>
      </c>
      <c r="J17">
        <v>-1</v>
      </c>
      <c r="K17">
        <v>-1</v>
      </c>
      <c r="L17">
        <v>-1</v>
      </c>
      <c r="M17">
        <v>58.3</v>
      </c>
      <c r="N17">
        <v>85.4</v>
      </c>
      <c r="O17">
        <v>106.1</v>
      </c>
      <c r="P17">
        <v>28.5</v>
      </c>
      <c r="Q17">
        <v>42.3</v>
      </c>
      <c r="R17">
        <v>52.3</v>
      </c>
      <c r="S17">
        <v>85.4</v>
      </c>
      <c r="T17">
        <v>106.1</v>
      </c>
      <c r="U17">
        <v>42.3</v>
      </c>
      <c r="V17">
        <v>52.3</v>
      </c>
      <c r="W17">
        <v>52.3</v>
      </c>
      <c r="X17" s="37">
        <v>45071</v>
      </c>
    </row>
    <row r="18" spans="1:24" x14ac:dyDescent="0.25">
      <c r="A18" t="s">
        <v>21</v>
      </c>
      <c r="B18">
        <v>20032</v>
      </c>
      <c r="C18" t="s">
        <v>5</v>
      </c>
      <c r="D18" s="36">
        <v>0</v>
      </c>
      <c r="E18" t="s">
        <v>6</v>
      </c>
      <c r="F18">
        <v>0.99998842592592596</v>
      </c>
      <c r="G18">
        <v>29.1</v>
      </c>
      <c r="H18">
        <v>43.3</v>
      </c>
      <c r="I18">
        <v>53.7</v>
      </c>
      <c r="J18">
        <v>-1</v>
      </c>
      <c r="K18">
        <v>-1</v>
      </c>
      <c r="L18">
        <v>-1</v>
      </c>
      <c r="M18">
        <v>59</v>
      </c>
      <c r="N18">
        <v>87.6</v>
      </c>
      <c r="O18">
        <v>108.8</v>
      </c>
      <c r="P18">
        <v>29.1</v>
      </c>
      <c r="Q18">
        <v>43.3</v>
      </c>
      <c r="R18">
        <v>53.7</v>
      </c>
      <c r="S18">
        <v>87.6</v>
      </c>
      <c r="T18">
        <v>108.8</v>
      </c>
      <c r="U18">
        <v>43.3</v>
      </c>
      <c r="V18">
        <v>53.7</v>
      </c>
      <c r="W18">
        <v>53.7</v>
      </c>
      <c r="X18" s="37">
        <v>45085</v>
      </c>
    </row>
    <row r="19" spans="1:24" x14ac:dyDescent="0.25">
      <c r="A19" t="s">
        <v>22</v>
      </c>
      <c r="B19">
        <v>20034</v>
      </c>
      <c r="C19" t="s">
        <v>5</v>
      </c>
      <c r="D19" s="36">
        <v>0</v>
      </c>
      <c r="E19" t="s">
        <v>6</v>
      </c>
      <c r="F19">
        <v>0.99998842592592596</v>
      </c>
      <c r="G19">
        <v>30.7</v>
      </c>
      <c r="H19">
        <v>45.5</v>
      </c>
      <c r="I19">
        <v>57</v>
      </c>
      <c r="J19">
        <v>-1</v>
      </c>
      <c r="K19">
        <v>-1</v>
      </c>
      <c r="L19">
        <v>-1</v>
      </c>
      <c r="M19">
        <v>62.5</v>
      </c>
      <c r="N19">
        <v>92.1</v>
      </c>
      <c r="O19">
        <v>115.1</v>
      </c>
      <c r="P19">
        <v>30.7</v>
      </c>
      <c r="Q19">
        <v>45.5</v>
      </c>
      <c r="R19">
        <v>57</v>
      </c>
      <c r="S19">
        <v>92.1</v>
      </c>
      <c r="T19">
        <v>115.1</v>
      </c>
      <c r="U19">
        <v>45.5</v>
      </c>
      <c r="V19">
        <v>57</v>
      </c>
      <c r="W19">
        <v>57</v>
      </c>
      <c r="X19" s="37">
        <v>45099</v>
      </c>
    </row>
    <row r="20" spans="1:24" x14ac:dyDescent="0.25">
      <c r="A20" t="s">
        <v>23</v>
      </c>
      <c r="B20">
        <v>20036</v>
      </c>
      <c r="C20" t="s">
        <v>5</v>
      </c>
      <c r="D20" s="36">
        <v>0</v>
      </c>
      <c r="E20" t="s">
        <v>6</v>
      </c>
      <c r="F20">
        <v>0.99998842592592596</v>
      </c>
      <c r="G20">
        <v>33.799999999999997</v>
      </c>
      <c r="H20">
        <v>50.1</v>
      </c>
      <c r="I20">
        <v>61.4</v>
      </c>
      <c r="J20">
        <v>-1</v>
      </c>
      <c r="K20">
        <v>-1</v>
      </c>
      <c r="L20">
        <v>-1</v>
      </c>
      <c r="M20">
        <v>67.900000000000006</v>
      </c>
      <c r="N20">
        <v>101.3</v>
      </c>
      <c r="O20">
        <v>124.4</v>
      </c>
      <c r="P20">
        <v>33.799999999999997</v>
      </c>
      <c r="Q20">
        <v>50.1</v>
      </c>
      <c r="R20">
        <v>61.4</v>
      </c>
      <c r="S20">
        <v>101.3</v>
      </c>
      <c r="T20">
        <v>124.4</v>
      </c>
      <c r="U20">
        <v>50.1</v>
      </c>
      <c r="V20">
        <v>61.4</v>
      </c>
      <c r="W20">
        <v>61.4</v>
      </c>
      <c r="X20" s="37">
        <v>45091</v>
      </c>
    </row>
    <row r="21" spans="1:24" x14ac:dyDescent="0.25">
      <c r="A21" t="s">
        <v>24</v>
      </c>
      <c r="B21">
        <v>20038</v>
      </c>
      <c r="C21" t="s">
        <v>5</v>
      </c>
      <c r="D21" s="36">
        <v>0</v>
      </c>
      <c r="E21" t="s">
        <v>6</v>
      </c>
      <c r="F21">
        <v>0.99998842592592596</v>
      </c>
      <c r="G21">
        <v>34.700000000000003</v>
      </c>
      <c r="H21">
        <v>52.3</v>
      </c>
      <c r="I21">
        <v>63.6</v>
      </c>
      <c r="J21">
        <v>-1</v>
      </c>
      <c r="K21">
        <v>-1</v>
      </c>
      <c r="L21">
        <v>-1</v>
      </c>
      <c r="M21">
        <v>70.8</v>
      </c>
      <c r="N21">
        <v>106.1</v>
      </c>
      <c r="O21">
        <v>128.6</v>
      </c>
      <c r="P21">
        <v>34.700000000000003</v>
      </c>
      <c r="Q21">
        <v>52.3</v>
      </c>
      <c r="R21">
        <v>63.6</v>
      </c>
      <c r="S21">
        <v>106.1</v>
      </c>
      <c r="T21">
        <v>128.6</v>
      </c>
      <c r="U21">
        <v>52.3</v>
      </c>
      <c r="V21">
        <v>63.6</v>
      </c>
      <c r="W21">
        <v>63.6</v>
      </c>
      <c r="X21" s="37">
        <v>45079</v>
      </c>
    </row>
    <row r="22" spans="1:24" x14ac:dyDescent="0.25">
      <c r="A22" t="s">
        <v>25</v>
      </c>
      <c r="B22">
        <v>20040</v>
      </c>
      <c r="C22" t="s">
        <v>5</v>
      </c>
      <c r="D22" s="36">
        <v>0</v>
      </c>
      <c r="E22" t="s">
        <v>6</v>
      </c>
      <c r="F22">
        <v>0.99998842592592596</v>
      </c>
      <c r="G22">
        <v>36.5</v>
      </c>
      <c r="H22">
        <v>54.6</v>
      </c>
      <c r="I22">
        <v>65.900000000000006</v>
      </c>
      <c r="J22">
        <v>-1</v>
      </c>
      <c r="K22">
        <v>-1</v>
      </c>
      <c r="L22">
        <v>-1</v>
      </c>
      <c r="M22">
        <v>73.900000000000006</v>
      </c>
      <c r="N22">
        <v>110.3</v>
      </c>
      <c r="O22">
        <v>133.4</v>
      </c>
      <c r="P22">
        <v>36.5</v>
      </c>
      <c r="Q22">
        <v>54.6</v>
      </c>
      <c r="R22">
        <v>65.900000000000006</v>
      </c>
      <c r="S22">
        <v>110.3</v>
      </c>
      <c r="T22">
        <v>133.4</v>
      </c>
      <c r="U22">
        <v>54.6</v>
      </c>
      <c r="V22">
        <v>65.900000000000006</v>
      </c>
      <c r="W22">
        <v>65.900000000000006</v>
      </c>
      <c r="X22" s="37">
        <v>45075</v>
      </c>
    </row>
    <row r="23" spans="1:24" x14ac:dyDescent="0.25">
      <c r="A23" t="s">
        <v>41</v>
      </c>
      <c r="B23">
        <v>20042</v>
      </c>
      <c r="C23" t="s">
        <v>5</v>
      </c>
      <c r="D23" s="36">
        <v>0</v>
      </c>
      <c r="E23" t="s">
        <v>6</v>
      </c>
      <c r="F23">
        <v>0.99998842592592596</v>
      </c>
      <c r="G23">
        <v>38</v>
      </c>
      <c r="H23">
        <v>57.2</v>
      </c>
      <c r="I23">
        <v>68.7</v>
      </c>
      <c r="J23">
        <v>-1</v>
      </c>
      <c r="K23">
        <v>-1</v>
      </c>
      <c r="L23">
        <v>-1</v>
      </c>
      <c r="M23">
        <v>76.599999999999994</v>
      </c>
      <c r="N23">
        <v>115.5</v>
      </c>
      <c r="O23">
        <v>138.80000000000001</v>
      </c>
      <c r="P23">
        <v>38</v>
      </c>
      <c r="Q23">
        <v>57.2</v>
      </c>
      <c r="R23">
        <v>68.7</v>
      </c>
      <c r="S23">
        <v>115.5</v>
      </c>
      <c r="T23">
        <v>138.80000000000001</v>
      </c>
      <c r="U23">
        <v>57.2</v>
      </c>
      <c r="V23">
        <v>68.7</v>
      </c>
      <c r="W23">
        <v>68.7</v>
      </c>
      <c r="X23" s="37">
        <v>45110</v>
      </c>
    </row>
    <row r="24" spans="1:24" x14ac:dyDescent="0.25">
      <c r="A24" t="s">
        <v>26</v>
      </c>
      <c r="B24">
        <v>20044</v>
      </c>
      <c r="C24" t="s">
        <v>5</v>
      </c>
      <c r="D24" s="36">
        <v>0</v>
      </c>
      <c r="E24" t="s">
        <v>6</v>
      </c>
      <c r="F24">
        <v>0.99998842592592596</v>
      </c>
      <c r="G24">
        <v>38.700000000000003</v>
      </c>
      <c r="H24">
        <v>59.2</v>
      </c>
      <c r="I24">
        <v>70.400000000000006</v>
      </c>
      <c r="J24">
        <v>-1</v>
      </c>
      <c r="K24">
        <v>-1</v>
      </c>
      <c r="L24">
        <v>-1</v>
      </c>
      <c r="M24">
        <v>78.599999999999994</v>
      </c>
      <c r="N24">
        <v>119.4</v>
      </c>
      <c r="O24">
        <v>142.5</v>
      </c>
      <c r="P24">
        <v>38.700000000000003</v>
      </c>
      <c r="Q24">
        <v>59.2</v>
      </c>
      <c r="R24">
        <v>70.400000000000006</v>
      </c>
      <c r="S24">
        <v>119.4</v>
      </c>
      <c r="T24">
        <v>142.5</v>
      </c>
      <c r="U24">
        <v>59.2</v>
      </c>
      <c r="V24">
        <v>70.400000000000006</v>
      </c>
      <c r="W24">
        <v>70.400000000000006</v>
      </c>
      <c r="X24" s="37">
        <v>45114</v>
      </c>
    </row>
    <row r="25" spans="1:24" x14ac:dyDescent="0.25">
      <c r="A25" t="s">
        <v>27</v>
      </c>
      <c r="B25">
        <v>20046</v>
      </c>
      <c r="C25" t="s">
        <v>5</v>
      </c>
      <c r="D25" s="36">
        <v>0</v>
      </c>
      <c r="E25" t="s">
        <v>6</v>
      </c>
      <c r="F25">
        <v>0.99998842592592596</v>
      </c>
      <c r="G25">
        <v>40.1</v>
      </c>
      <c r="H25">
        <v>59.2</v>
      </c>
      <c r="I25">
        <v>72.8</v>
      </c>
      <c r="J25">
        <v>-1</v>
      </c>
      <c r="K25">
        <v>-1</v>
      </c>
      <c r="L25">
        <v>-1</v>
      </c>
      <c r="M25">
        <v>80.8</v>
      </c>
      <c r="N25">
        <v>119.4</v>
      </c>
      <c r="O25">
        <v>146.80000000000001</v>
      </c>
      <c r="P25">
        <v>40.1</v>
      </c>
      <c r="Q25">
        <v>59.2</v>
      </c>
      <c r="R25">
        <v>72.8</v>
      </c>
      <c r="S25">
        <v>119.4</v>
      </c>
      <c r="T25">
        <v>146.80000000000001</v>
      </c>
      <c r="U25">
        <v>59.2</v>
      </c>
      <c r="V25">
        <v>72.8</v>
      </c>
      <c r="W25">
        <v>72.8</v>
      </c>
      <c r="X25" s="37">
        <v>45118</v>
      </c>
    </row>
    <row r="26" spans="1:24" x14ac:dyDescent="0.25">
      <c r="A26" t="s">
        <v>28</v>
      </c>
      <c r="B26">
        <v>20048</v>
      </c>
      <c r="C26" t="s">
        <v>5</v>
      </c>
      <c r="D26" s="36">
        <v>0</v>
      </c>
      <c r="E26" t="s">
        <v>6</v>
      </c>
      <c r="F26">
        <v>0.99998842592592596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 s="37">
        <v>45142</v>
      </c>
    </row>
    <row r="27" spans="1:24" x14ac:dyDescent="0.25">
      <c r="A27" t="s">
        <v>56</v>
      </c>
      <c r="B27">
        <v>20050</v>
      </c>
      <c r="C27" t="s">
        <v>5</v>
      </c>
      <c r="D27" s="36">
        <v>0</v>
      </c>
      <c r="E27" t="s">
        <v>6</v>
      </c>
      <c r="F27">
        <v>0.99998842592592596</v>
      </c>
      <c r="G27">
        <v>41.3</v>
      </c>
      <c r="H27">
        <v>61.4</v>
      </c>
      <c r="I27">
        <v>75</v>
      </c>
      <c r="J27">
        <v>-1</v>
      </c>
      <c r="K27">
        <v>-1</v>
      </c>
      <c r="L27">
        <v>-1</v>
      </c>
      <c r="M27">
        <v>83.5</v>
      </c>
      <c r="N27">
        <v>124.4</v>
      </c>
      <c r="O27">
        <v>151.5</v>
      </c>
      <c r="P27">
        <v>41.3</v>
      </c>
      <c r="Q27">
        <v>61.4</v>
      </c>
      <c r="R27">
        <v>75</v>
      </c>
      <c r="S27">
        <v>124.4</v>
      </c>
      <c r="T27">
        <v>151.5</v>
      </c>
      <c r="U27">
        <v>61.4</v>
      </c>
      <c r="V27">
        <v>75</v>
      </c>
      <c r="W27">
        <v>75</v>
      </c>
      <c r="X27" s="37">
        <v>45146</v>
      </c>
    </row>
    <row r="28" spans="1:24" x14ac:dyDescent="0.25">
      <c r="A28" t="s">
        <v>29</v>
      </c>
      <c r="B28">
        <v>20052</v>
      </c>
      <c r="C28" t="s">
        <v>5</v>
      </c>
      <c r="D28" s="36">
        <v>0</v>
      </c>
      <c r="E28" t="s">
        <v>6</v>
      </c>
      <c r="F28">
        <v>0.99998842592592596</v>
      </c>
      <c r="G28">
        <v>42.3</v>
      </c>
      <c r="H28">
        <v>61.4</v>
      </c>
      <c r="I28">
        <v>75</v>
      </c>
      <c r="J28">
        <v>-1</v>
      </c>
      <c r="K28">
        <v>-1</v>
      </c>
      <c r="L28">
        <v>-1</v>
      </c>
      <c r="M28">
        <v>85.4</v>
      </c>
      <c r="N28">
        <v>124.4</v>
      </c>
      <c r="O28">
        <v>151.5</v>
      </c>
      <c r="P28">
        <v>42.3</v>
      </c>
      <c r="Q28">
        <v>61.4</v>
      </c>
      <c r="R28">
        <v>75</v>
      </c>
      <c r="S28">
        <v>124.4</v>
      </c>
      <c r="T28">
        <v>151.5</v>
      </c>
      <c r="U28">
        <v>61.4</v>
      </c>
      <c r="V28">
        <v>75</v>
      </c>
      <c r="W28">
        <v>75</v>
      </c>
      <c r="X28" s="37">
        <v>45108</v>
      </c>
    </row>
    <row r="29" spans="1:24" x14ac:dyDescent="0.25">
      <c r="A29" t="s">
        <v>30</v>
      </c>
      <c r="B29">
        <v>20054</v>
      </c>
      <c r="C29" t="s">
        <v>5</v>
      </c>
      <c r="D29" s="36">
        <v>0</v>
      </c>
      <c r="E29" t="s">
        <v>6</v>
      </c>
      <c r="F29">
        <v>0.99998842592592596</v>
      </c>
      <c r="G29">
        <v>43.3</v>
      </c>
      <c r="H29">
        <v>63.6</v>
      </c>
      <c r="I29">
        <v>77.2</v>
      </c>
      <c r="J29">
        <v>-1</v>
      </c>
      <c r="K29">
        <v>-1</v>
      </c>
      <c r="L29">
        <v>-1</v>
      </c>
      <c r="M29">
        <v>87.6</v>
      </c>
      <c r="N29">
        <v>128.6</v>
      </c>
      <c r="O29">
        <v>156.4</v>
      </c>
      <c r="P29">
        <v>43.3</v>
      </c>
      <c r="Q29">
        <v>63.6</v>
      </c>
      <c r="R29">
        <v>77.2</v>
      </c>
      <c r="S29">
        <v>128.6</v>
      </c>
      <c r="T29">
        <v>156.4</v>
      </c>
      <c r="U29">
        <v>63.6</v>
      </c>
      <c r="V29">
        <v>77.2</v>
      </c>
      <c r="W29">
        <v>77.2</v>
      </c>
      <c r="X29" s="37">
        <v>45153</v>
      </c>
    </row>
    <row r="30" spans="1:24" x14ac:dyDescent="0.25">
      <c r="A30" t="s">
        <v>57</v>
      </c>
      <c r="B30">
        <v>20058</v>
      </c>
      <c r="C30" t="s">
        <v>5</v>
      </c>
      <c r="D30" s="36">
        <v>0</v>
      </c>
      <c r="E30" t="s">
        <v>6</v>
      </c>
      <c r="F30">
        <v>0.99998842592592596</v>
      </c>
      <c r="G30">
        <v>-1</v>
      </c>
      <c r="H30">
        <v>-1</v>
      </c>
      <c r="I30">
        <v>-1</v>
      </c>
      <c r="J30">
        <v>-1</v>
      </c>
      <c r="K30">
        <v>-1</v>
      </c>
      <c r="L30">
        <v>-1</v>
      </c>
      <c r="M30">
        <v>-1</v>
      </c>
      <c r="N30">
        <v>-1</v>
      </c>
      <c r="O30">
        <v>-1</v>
      </c>
      <c r="P30">
        <v>-1</v>
      </c>
      <c r="Q30">
        <v>-1</v>
      </c>
      <c r="R30">
        <v>-1</v>
      </c>
      <c r="S30">
        <v>-1</v>
      </c>
      <c r="T30">
        <v>-1</v>
      </c>
      <c r="U30">
        <v>-1</v>
      </c>
      <c r="V30">
        <v>-1</v>
      </c>
      <c r="W30">
        <v>-1</v>
      </c>
      <c r="X30" s="37">
        <v>45150</v>
      </c>
    </row>
    <row r="31" spans="1:24" x14ac:dyDescent="0.25">
      <c r="A31" t="s">
        <v>31</v>
      </c>
      <c r="B31">
        <v>20060</v>
      </c>
      <c r="C31" t="s">
        <v>5</v>
      </c>
      <c r="D31" s="36">
        <v>0</v>
      </c>
      <c r="E31" t="s">
        <v>6</v>
      </c>
      <c r="F31">
        <v>0.99998842592592596</v>
      </c>
      <c r="G31">
        <v>45</v>
      </c>
      <c r="H31">
        <v>65.900000000000006</v>
      </c>
      <c r="I31">
        <v>79.400000000000006</v>
      </c>
      <c r="J31">
        <v>-1</v>
      </c>
      <c r="K31">
        <v>-1</v>
      </c>
      <c r="L31">
        <v>-1</v>
      </c>
      <c r="M31">
        <v>90.9</v>
      </c>
      <c r="N31">
        <v>133.4</v>
      </c>
      <c r="O31">
        <v>160.9</v>
      </c>
      <c r="P31">
        <v>45</v>
      </c>
      <c r="Q31">
        <v>65.900000000000006</v>
      </c>
      <c r="R31">
        <v>79.400000000000006</v>
      </c>
      <c r="S31">
        <v>133.4</v>
      </c>
      <c r="T31">
        <v>160.9</v>
      </c>
      <c r="U31">
        <v>65.900000000000006</v>
      </c>
      <c r="V31">
        <v>79.400000000000006</v>
      </c>
      <c r="W31">
        <v>79.400000000000006</v>
      </c>
      <c r="X31" s="37">
        <v>45157</v>
      </c>
    </row>
    <row r="32" spans="1:24" x14ac:dyDescent="0.25">
      <c r="A32" t="s">
        <v>32</v>
      </c>
      <c r="B32">
        <v>21000</v>
      </c>
      <c r="C32" t="s">
        <v>5</v>
      </c>
      <c r="D32" s="36">
        <v>0</v>
      </c>
      <c r="E32" t="s">
        <v>6</v>
      </c>
      <c r="F32">
        <v>0.99998842592592596</v>
      </c>
      <c r="G32">
        <v>-1</v>
      </c>
      <c r="H32">
        <v>-1</v>
      </c>
      <c r="I32">
        <v>-1</v>
      </c>
      <c r="J32">
        <v>-1</v>
      </c>
      <c r="K32">
        <v>-1</v>
      </c>
      <c r="L32">
        <v>-1</v>
      </c>
      <c r="M32">
        <v>-1</v>
      </c>
      <c r="N32">
        <v>-1</v>
      </c>
      <c r="O32">
        <v>-1</v>
      </c>
      <c r="P32">
        <v>-1</v>
      </c>
      <c r="Q32">
        <v>-1</v>
      </c>
      <c r="R32">
        <v>-1</v>
      </c>
      <c r="S32">
        <v>-1</v>
      </c>
      <c r="T32">
        <v>-1</v>
      </c>
      <c r="U32">
        <v>-1</v>
      </c>
      <c r="V32">
        <v>-1</v>
      </c>
      <c r="W32">
        <v>-1</v>
      </c>
      <c r="X32" s="37">
        <v>45143</v>
      </c>
    </row>
    <row r="33" spans="1:24" x14ac:dyDescent="0.25">
      <c r="A33" t="s">
        <v>33</v>
      </c>
      <c r="B33">
        <v>21002</v>
      </c>
      <c r="C33" t="s">
        <v>5</v>
      </c>
      <c r="D33" s="36">
        <v>0</v>
      </c>
      <c r="E33" t="s">
        <v>6</v>
      </c>
      <c r="F33">
        <v>0.99998842592592596</v>
      </c>
      <c r="G33">
        <v>41.5</v>
      </c>
      <c r="H33">
        <v>61.4</v>
      </c>
      <c r="I33">
        <v>75</v>
      </c>
      <c r="J33">
        <v>-1</v>
      </c>
      <c r="K33">
        <v>-1</v>
      </c>
      <c r="L33">
        <v>-1</v>
      </c>
      <c r="M33">
        <v>84.6</v>
      </c>
      <c r="N33">
        <v>124.4</v>
      </c>
      <c r="O33">
        <v>151.5</v>
      </c>
      <c r="P33">
        <v>41.5</v>
      </c>
      <c r="Q33">
        <v>61.4</v>
      </c>
      <c r="R33">
        <v>75</v>
      </c>
      <c r="S33">
        <v>124.4</v>
      </c>
      <c r="T33">
        <v>151.5</v>
      </c>
      <c r="U33">
        <v>61.4</v>
      </c>
      <c r="V33">
        <v>75</v>
      </c>
      <c r="W33">
        <v>75</v>
      </c>
      <c r="X33" s="37">
        <v>45166</v>
      </c>
    </row>
    <row r="34" spans="1:24" x14ac:dyDescent="0.25">
      <c r="A34" t="s">
        <v>34</v>
      </c>
      <c r="B34">
        <v>21004</v>
      </c>
      <c r="C34" t="s">
        <v>5</v>
      </c>
      <c r="D34" s="36">
        <v>0</v>
      </c>
      <c r="E34" t="s">
        <v>6</v>
      </c>
      <c r="F34">
        <v>0.99998842592592596</v>
      </c>
      <c r="G34">
        <v>43.3</v>
      </c>
      <c r="H34">
        <v>63.6</v>
      </c>
      <c r="I34">
        <v>79.400000000000006</v>
      </c>
      <c r="J34">
        <v>-1</v>
      </c>
      <c r="K34">
        <v>-1</v>
      </c>
      <c r="L34">
        <v>-1</v>
      </c>
      <c r="M34">
        <v>87.6</v>
      </c>
      <c r="N34">
        <v>128.6</v>
      </c>
      <c r="O34">
        <v>160.9</v>
      </c>
      <c r="P34">
        <v>43.3</v>
      </c>
      <c r="Q34">
        <v>63.6</v>
      </c>
      <c r="R34">
        <v>79.400000000000006</v>
      </c>
      <c r="S34">
        <v>128.6</v>
      </c>
      <c r="T34">
        <v>160.9</v>
      </c>
      <c r="U34">
        <v>63.6</v>
      </c>
      <c r="V34">
        <v>79.400000000000006</v>
      </c>
      <c r="W34">
        <v>79.400000000000006</v>
      </c>
      <c r="X34" s="37">
        <v>45162</v>
      </c>
    </row>
    <row r="35" spans="1:24" x14ac:dyDescent="0.25">
      <c r="A35" t="s">
        <v>35</v>
      </c>
      <c r="B35">
        <v>21006</v>
      </c>
      <c r="C35" t="s">
        <v>5</v>
      </c>
      <c r="D35" s="36">
        <v>0</v>
      </c>
      <c r="E35" t="s">
        <v>6</v>
      </c>
      <c r="F35">
        <v>0.99998842592592596</v>
      </c>
      <c r="G35">
        <v>44.5</v>
      </c>
      <c r="H35">
        <v>65.900000000000006</v>
      </c>
      <c r="I35">
        <v>81.8</v>
      </c>
      <c r="J35">
        <v>-1</v>
      </c>
      <c r="K35">
        <v>-1</v>
      </c>
      <c r="L35">
        <v>-1</v>
      </c>
      <c r="M35">
        <v>89.9</v>
      </c>
      <c r="N35">
        <v>133.4</v>
      </c>
      <c r="O35">
        <v>165.3</v>
      </c>
      <c r="P35">
        <v>44.5</v>
      </c>
      <c r="Q35">
        <v>65.900000000000006</v>
      </c>
      <c r="R35">
        <v>81.8</v>
      </c>
      <c r="S35">
        <v>133.4</v>
      </c>
      <c r="T35">
        <v>165.3</v>
      </c>
      <c r="U35">
        <v>65.900000000000006</v>
      </c>
      <c r="V35">
        <v>81.8</v>
      </c>
      <c r="W35">
        <v>81.8</v>
      </c>
      <c r="X35" s="37">
        <v>45160</v>
      </c>
    </row>
    <row r="36" spans="1:24" x14ac:dyDescent="0.25">
      <c r="A36" t="s">
        <v>36</v>
      </c>
      <c r="B36">
        <v>21008</v>
      </c>
      <c r="C36" t="s">
        <v>5</v>
      </c>
      <c r="D36" s="36">
        <v>0</v>
      </c>
      <c r="E36" t="s">
        <v>6</v>
      </c>
      <c r="F36">
        <v>0.99998842592592596</v>
      </c>
      <c r="G36">
        <v>47.3</v>
      </c>
      <c r="H36">
        <v>70.400000000000006</v>
      </c>
      <c r="I36">
        <v>86.4</v>
      </c>
      <c r="J36">
        <v>-1</v>
      </c>
      <c r="K36">
        <v>-1</v>
      </c>
      <c r="L36">
        <v>-1</v>
      </c>
      <c r="M36">
        <v>95.6</v>
      </c>
      <c r="N36">
        <v>142.5</v>
      </c>
      <c r="O36">
        <v>174.2</v>
      </c>
      <c r="P36">
        <v>47.3</v>
      </c>
      <c r="Q36">
        <v>70.400000000000006</v>
      </c>
      <c r="R36">
        <v>86.4</v>
      </c>
      <c r="S36">
        <v>142.5</v>
      </c>
      <c r="T36">
        <v>174.2</v>
      </c>
      <c r="U36">
        <v>70.400000000000006</v>
      </c>
      <c r="V36">
        <v>86.4</v>
      </c>
      <c r="W36">
        <v>86.4</v>
      </c>
      <c r="X36" s="37">
        <v>45179</v>
      </c>
    </row>
    <row r="37" spans="1:24" x14ac:dyDescent="0.25">
      <c r="A37" t="s">
        <v>42</v>
      </c>
      <c r="B37">
        <v>21010</v>
      </c>
      <c r="C37" t="s">
        <v>5</v>
      </c>
      <c r="D37" s="36">
        <v>0</v>
      </c>
      <c r="E37" t="s">
        <v>6</v>
      </c>
      <c r="F37">
        <v>0.99998842592592596</v>
      </c>
      <c r="G37">
        <v>48.3</v>
      </c>
      <c r="H37">
        <v>72</v>
      </c>
      <c r="I37">
        <v>89</v>
      </c>
      <c r="J37">
        <v>-1</v>
      </c>
      <c r="K37">
        <v>-1</v>
      </c>
      <c r="L37">
        <v>-1</v>
      </c>
      <c r="M37">
        <v>97.9</v>
      </c>
      <c r="N37">
        <v>145.5</v>
      </c>
      <c r="O37">
        <v>179.8</v>
      </c>
      <c r="P37">
        <v>48.3</v>
      </c>
      <c r="Q37">
        <v>72</v>
      </c>
      <c r="R37">
        <v>89</v>
      </c>
      <c r="S37">
        <v>145.5</v>
      </c>
      <c r="T37">
        <v>179.8</v>
      </c>
      <c r="U37">
        <v>72</v>
      </c>
      <c r="V37">
        <v>89</v>
      </c>
      <c r="W37">
        <v>89</v>
      </c>
      <c r="X37" s="37">
        <v>45157</v>
      </c>
    </row>
    <row r="38" spans="1:24" x14ac:dyDescent="0.25">
      <c r="A38" t="s">
        <v>37</v>
      </c>
      <c r="B38">
        <v>21012</v>
      </c>
      <c r="C38" t="s">
        <v>5</v>
      </c>
      <c r="D38" s="36">
        <v>0</v>
      </c>
      <c r="E38" t="s">
        <v>6</v>
      </c>
      <c r="F38">
        <v>0.99998842592592596</v>
      </c>
      <c r="G38">
        <v>49.1</v>
      </c>
      <c r="H38">
        <v>72.8</v>
      </c>
      <c r="I38">
        <v>90.9</v>
      </c>
      <c r="J38">
        <v>-1</v>
      </c>
      <c r="K38">
        <v>-1</v>
      </c>
      <c r="L38">
        <v>-1</v>
      </c>
      <c r="M38">
        <v>99.5</v>
      </c>
      <c r="N38">
        <v>146.80000000000001</v>
      </c>
      <c r="O38">
        <v>183.5</v>
      </c>
      <c r="P38">
        <v>49.1</v>
      </c>
      <c r="Q38">
        <v>72.8</v>
      </c>
      <c r="R38">
        <v>90.9</v>
      </c>
      <c r="S38">
        <v>146.80000000000001</v>
      </c>
      <c r="T38">
        <v>183.5</v>
      </c>
      <c r="U38">
        <v>72.8</v>
      </c>
      <c r="V38">
        <v>90.9</v>
      </c>
      <c r="W38">
        <v>90.9</v>
      </c>
      <c r="X38" s="37">
        <v>45143</v>
      </c>
    </row>
    <row r="39" spans="1:24" x14ac:dyDescent="0.25">
      <c r="A39" t="s">
        <v>38</v>
      </c>
      <c r="B39">
        <v>21014</v>
      </c>
      <c r="C39" t="s">
        <v>5</v>
      </c>
      <c r="D39" s="36">
        <v>0</v>
      </c>
      <c r="E39" t="s">
        <v>6</v>
      </c>
      <c r="F39">
        <v>0.99998842592592596</v>
      </c>
      <c r="G39">
        <v>50.6</v>
      </c>
      <c r="H39">
        <v>75</v>
      </c>
      <c r="I39">
        <v>93.1</v>
      </c>
      <c r="J39">
        <v>-1</v>
      </c>
      <c r="K39">
        <v>-1</v>
      </c>
      <c r="L39">
        <v>-1</v>
      </c>
      <c r="M39">
        <v>102.6</v>
      </c>
      <c r="N39">
        <v>151.5</v>
      </c>
      <c r="O39">
        <v>188.1</v>
      </c>
      <c r="P39">
        <v>50.6</v>
      </c>
      <c r="Q39">
        <v>75</v>
      </c>
      <c r="R39">
        <v>93.1</v>
      </c>
      <c r="S39">
        <v>151.5</v>
      </c>
      <c r="T39">
        <v>188.1</v>
      </c>
      <c r="U39">
        <v>75</v>
      </c>
      <c r="V39">
        <v>93.1</v>
      </c>
      <c r="W39">
        <v>93.1</v>
      </c>
      <c r="X39" s="37">
        <v>45166</v>
      </c>
    </row>
    <row r="40" spans="1:24" x14ac:dyDescent="0.25">
      <c r="A40" t="s">
        <v>39</v>
      </c>
      <c r="B40">
        <v>21016</v>
      </c>
      <c r="C40" t="s">
        <v>5</v>
      </c>
      <c r="D40" s="36">
        <v>0</v>
      </c>
      <c r="E40" t="s">
        <v>6</v>
      </c>
      <c r="F40">
        <v>0.99998842592592596</v>
      </c>
      <c r="G40">
        <v>51.8</v>
      </c>
      <c r="H40">
        <v>77.2</v>
      </c>
      <c r="I40">
        <v>93.1</v>
      </c>
      <c r="J40">
        <v>-1</v>
      </c>
      <c r="K40">
        <v>-1</v>
      </c>
      <c r="L40">
        <v>-1</v>
      </c>
      <c r="M40">
        <v>104.5</v>
      </c>
      <c r="N40">
        <v>156.4</v>
      </c>
      <c r="O40">
        <v>188.1</v>
      </c>
      <c r="P40">
        <v>51.8</v>
      </c>
      <c r="Q40">
        <v>77.2</v>
      </c>
      <c r="R40">
        <v>93.1</v>
      </c>
      <c r="S40">
        <v>156.4</v>
      </c>
      <c r="T40">
        <v>188.1</v>
      </c>
      <c r="U40">
        <v>77.2</v>
      </c>
      <c r="V40">
        <v>93.1</v>
      </c>
      <c r="W40">
        <v>93.1</v>
      </c>
      <c r="X40" s="37">
        <v>45162</v>
      </c>
    </row>
  </sheetData>
  <conditionalFormatting sqref="A1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A0CB9-92DA-463E-8E63-8E65F268C4C2}">
  <dimension ref="A1:E6"/>
  <sheetViews>
    <sheetView workbookViewId="0">
      <selection activeCell="C18" sqref="C18"/>
    </sheetView>
  </sheetViews>
  <sheetFormatPr defaultRowHeight="13.2" x14ac:dyDescent="0.25"/>
  <cols>
    <col min="1" max="1" width="7.5546875" bestFit="1" customWidth="1"/>
    <col min="2" max="2" width="61.5546875" bestFit="1" customWidth="1"/>
    <col min="3" max="3" width="26.44140625" bestFit="1" customWidth="1"/>
    <col min="4" max="5" width="13.21875" bestFit="1" customWidth="1"/>
  </cols>
  <sheetData>
    <row r="1" spans="1:5" ht="14.4" x14ac:dyDescent="0.3">
      <c r="A1" s="4" t="s">
        <v>46</v>
      </c>
      <c r="B1" s="4" t="s">
        <v>47</v>
      </c>
      <c r="C1" s="4" t="s">
        <v>44</v>
      </c>
      <c r="E1" s="4" t="s">
        <v>175</v>
      </c>
    </row>
    <row r="2" spans="1:5" ht="14.4" x14ac:dyDescent="0.3">
      <c r="A2" s="2"/>
      <c r="B2" s="5" t="s">
        <v>159</v>
      </c>
      <c r="C2" s="2"/>
      <c r="E2" s="1"/>
    </row>
    <row r="3" spans="1:5" ht="14.4" x14ac:dyDescent="0.3">
      <c r="A3" s="6">
        <v>1</v>
      </c>
      <c r="B3" s="2" t="s">
        <v>106</v>
      </c>
      <c r="C3" s="2"/>
      <c r="E3" s="1">
        <v>5</v>
      </c>
    </row>
    <row r="4" spans="1:5" ht="14.4" x14ac:dyDescent="0.3">
      <c r="A4" s="6">
        <v>2</v>
      </c>
      <c r="B4" s="2" t="s">
        <v>45</v>
      </c>
      <c r="C4" s="2"/>
      <c r="E4" s="1">
        <v>5</v>
      </c>
    </row>
    <row r="5" spans="1:5" ht="14.4" x14ac:dyDescent="0.3">
      <c r="A5" s="6">
        <v>3</v>
      </c>
      <c r="B5" s="2" t="s">
        <v>103</v>
      </c>
      <c r="C5">
        <f>SUMIF(Dataset!$H$2:$H$40,"&gt;20")</f>
        <v>1473.0000000000002</v>
      </c>
      <c r="E5" s="1">
        <v>10</v>
      </c>
    </row>
    <row r="6" spans="1:5" ht="14.4" x14ac:dyDescent="0.3">
      <c r="A6" s="6">
        <v>4</v>
      </c>
      <c r="B6" s="2" t="s">
        <v>105</v>
      </c>
      <c r="C6" s="2"/>
      <c r="E6" s="1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AA725-3943-4C88-BF19-64694D8F3567}">
  <dimension ref="A1:M30"/>
  <sheetViews>
    <sheetView topLeftCell="A34" workbookViewId="0">
      <selection activeCell="H29" sqref="H29"/>
    </sheetView>
  </sheetViews>
  <sheetFormatPr defaultRowHeight="13.2" x14ac:dyDescent="0.25"/>
  <cols>
    <col min="1" max="1" width="12" customWidth="1"/>
  </cols>
  <sheetData>
    <row r="1" spans="1:13" ht="21" x14ac:dyDescent="0.4">
      <c r="A1" s="33" t="s">
        <v>54</v>
      </c>
      <c r="B1" s="32" t="s">
        <v>163</v>
      </c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</row>
    <row r="2" spans="1:13" ht="21" x14ac:dyDescent="0.4">
      <c r="A2" s="32"/>
      <c r="B2" s="32" t="s">
        <v>160</v>
      </c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</row>
    <row r="3" spans="1:13" ht="14.4" x14ac:dyDescent="0.3">
      <c r="A3" s="1"/>
      <c r="B3" s="1"/>
      <c r="C3" s="1"/>
      <c r="D3" s="1"/>
      <c r="E3" s="1"/>
      <c r="F3" s="1"/>
      <c r="G3" s="1"/>
      <c r="H3" s="2"/>
      <c r="I3" s="2"/>
      <c r="J3" s="2"/>
      <c r="K3" s="2"/>
      <c r="L3" s="2"/>
      <c r="M3" s="2"/>
    </row>
    <row r="4" spans="1:13" ht="23.4" x14ac:dyDescent="0.45">
      <c r="A4" s="16" t="s">
        <v>161</v>
      </c>
      <c r="B4" s="1"/>
      <c r="C4" s="1"/>
      <c r="D4" s="1"/>
      <c r="E4" s="1"/>
      <c r="F4" s="1"/>
      <c r="G4" s="1"/>
      <c r="H4" s="2"/>
      <c r="I4" s="2"/>
      <c r="J4" s="2"/>
      <c r="K4" s="2"/>
      <c r="L4" s="2"/>
      <c r="M4" s="2"/>
    </row>
    <row r="5" spans="1:13" ht="14.4" x14ac:dyDescent="0.3">
      <c r="A5" s="18" t="s">
        <v>63</v>
      </c>
      <c r="B5" s="19" t="s">
        <v>78</v>
      </c>
      <c r="C5" s="20" t="s">
        <v>70</v>
      </c>
      <c r="D5" s="19" t="s">
        <v>74</v>
      </c>
      <c r="E5" s="20" t="s">
        <v>75</v>
      </c>
      <c r="F5" s="21" t="s">
        <v>76</v>
      </c>
      <c r="G5" s="2"/>
      <c r="H5" s="2"/>
      <c r="I5" s="2"/>
      <c r="J5" s="2"/>
      <c r="K5" s="2"/>
      <c r="L5" s="2"/>
      <c r="M5" s="2"/>
    </row>
    <row r="6" spans="1:13" ht="14.4" x14ac:dyDescent="0.3">
      <c r="A6" s="7" t="s">
        <v>40</v>
      </c>
      <c r="B6" s="10">
        <f>VLOOKUP($A6,Dataset!$A$1:$X$40,MATCH(B$5,Dataset!$A$1:$X$1,0),FALSE)</f>
        <v>2.7</v>
      </c>
      <c r="C6" s="10">
        <f>VLOOKUP($A6,Dataset!$A$1:$X$40,MATCH(C$5,Dataset!$A$1:$X$1,0),FALSE)</f>
        <v>7.6</v>
      </c>
      <c r="D6" s="10">
        <f>VLOOKUP($A6,Dataset!$A$1:$X$40,MATCH(D$5,Dataset!$A$1:$X$1,0),FALSE)</f>
        <v>4.2</v>
      </c>
      <c r="E6" s="10">
        <f>VLOOKUP($A6,Dataset!$A$1:$X$40,MATCH(E$5,Dataset!$A$1:$X$1,0),FALSE)</f>
        <v>8.9</v>
      </c>
      <c r="F6" s="10">
        <f>VLOOKUP($A6,Dataset!$A$1:$X$40,MATCH(F$5,Dataset!$A$1:$X$1,0),FALSE)</f>
        <v>4.2</v>
      </c>
      <c r="G6" s="2"/>
      <c r="H6" s="2"/>
      <c r="I6" s="2"/>
      <c r="J6" s="2"/>
      <c r="K6" s="2"/>
      <c r="L6" s="2"/>
      <c r="M6" s="2"/>
    </row>
    <row r="7" spans="1:13" ht="14.4" x14ac:dyDescent="0.3">
      <c r="A7" s="7" t="s">
        <v>4</v>
      </c>
      <c r="B7" s="10">
        <f>VLOOKUP($A7,Dataset!$A$1:$X$40,7,FALSE)</f>
        <v>2.7</v>
      </c>
      <c r="C7" s="10">
        <f>VLOOKUP($A7,Dataset!$A$1:$X$40,MATCH(C$5,Dataset!$A$1:$X$1,0),FALSE)</f>
        <v>7.6</v>
      </c>
      <c r="D7" s="10">
        <f>VLOOKUP($A7,Dataset!$A$1:$X$40,MATCH(D$5,Dataset!$A$1:$X$1,0),FALSE)</f>
        <v>4.2</v>
      </c>
      <c r="E7" s="10">
        <f>VLOOKUP($A7,Dataset!$A$1:$X$40,MATCH(E$5,Dataset!$A$1:$X$1,0),FALSE)</f>
        <v>8.9</v>
      </c>
      <c r="F7" s="10">
        <f>VLOOKUP($A7,Dataset!$A$1:$X$40,MATCH(F$5,Dataset!$A$1:$X$1,0),FALSE)</f>
        <v>4.2</v>
      </c>
      <c r="G7" s="2"/>
      <c r="H7" s="2"/>
      <c r="I7" s="2"/>
      <c r="J7" s="2"/>
      <c r="K7" s="2"/>
      <c r="L7" s="2"/>
      <c r="M7" s="2"/>
    </row>
    <row r="8" spans="1:13" ht="14.4" x14ac:dyDescent="0.3">
      <c r="A8" s="7" t="s">
        <v>7</v>
      </c>
      <c r="B8" s="10">
        <f>VLOOKUP($A8,Dataset!$A$1:$X$40,7,FALSE)</f>
        <v>3.6</v>
      </c>
      <c r="C8" s="10">
        <f>VLOOKUP($A8,Dataset!$A$1:$X$40,MATCH(C$5,Dataset!$A$1:$X$1,0),FALSE)</f>
        <v>11.1</v>
      </c>
      <c r="D8" s="10">
        <f>VLOOKUP($A8,Dataset!$A$1:$X$40,MATCH(D$5,Dataset!$A$1:$X$1,0),FALSE)</f>
        <v>5.8</v>
      </c>
      <c r="E8" s="10">
        <f>VLOOKUP($A8,Dataset!$A$1:$X$40,MATCH(E$5,Dataset!$A$1:$X$1,0),FALSE)</f>
        <v>12.2</v>
      </c>
      <c r="F8" s="10">
        <f>VLOOKUP($A8,Dataset!$A$1:$X$40,MATCH(F$5,Dataset!$A$1:$X$1,0),FALSE)</f>
        <v>5.8</v>
      </c>
      <c r="G8" s="2"/>
      <c r="H8" s="2"/>
      <c r="I8" s="2"/>
      <c r="J8" s="2"/>
      <c r="K8" s="2"/>
      <c r="L8" s="2"/>
      <c r="M8" s="2"/>
    </row>
    <row r="9" spans="1:13" ht="14.4" x14ac:dyDescent="0.3">
      <c r="A9" s="7" t="s">
        <v>8</v>
      </c>
      <c r="B9" s="10">
        <f>VLOOKUP($A9,Dataset!$A$1:$X$40,7,FALSE)</f>
        <v>4.9000000000000004</v>
      </c>
      <c r="C9" s="10">
        <f>VLOOKUP($A9,Dataset!$A$1:$X$40,MATCH(C$5,Dataset!$A$1:$X$1,0),FALSE)</f>
        <v>13.3</v>
      </c>
      <c r="D9" s="10">
        <f>VLOOKUP($A9,Dataset!$A$1:$X$40,MATCH(D$5,Dataset!$A$1:$X$1,0),FALSE)</f>
        <v>8.1</v>
      </c>
      <c r="E9" s="10">
        <f>VLOOKUP($A9,Dataset!$A$1:$X$40,MATCH(E$5,Dataset!$A$1:$X$1,0),FALSE)</f>
        <v>17</v>
      </c>
      <c r="F9" s="10">
        <f>VLOOKUP($A9,Dataset!$A$1:$X$40,MATCH(F$5,Dataset!$A$1:$X$1,0),FALSE)</f>
        <v>8.1</v>
      </c>
      <c r="G9" s="2"/>
      <c r="H9" s="2"/>
      <c r="I9" s="2"/>
      <c r="J9" s="2"/>
      <c r="K9" s="2"/>
      <c r="L9" s="2"/>
      <c r="M9" s="2"/>
    </row>
    <row r="10" spans="1:13" ht="14.4" x14ac:dyDescent="0.3">
      <c r="A10" s="7" t="s">
        <v>11</v>
      </c>
      <c r="B10" s="10">
        <f>VLOOKUP($A10,Dataset!$A$1:$X$40,7,FALSE)</f>
        <v>9.4</v>
      </c>
      <c r="C10" s="10">
        <f>VLOOKUP($A10,Dataset!$A$1:$X$40,MATCH(C$5,Dataset!$A$1:$X$1,0),FALSE)</f>
        <v>28.3</v>
      </c>
      <c r="D10" s="10">
        <f>VLOOKUP($A10,Dataset!$A$1:$X$40,MATCH(D$5,Dataset!$A$1:$X$1,0),FALSE)</f>
        <v>16.100000000000001</v>
      </c>
      <c r="E10" s="10">
        <f>VLOOKUP($A10,Dataset!$A$1:$X$40,MATCH(E$5,Dataset!$A$1:$X$1,0),FALSE)</f>
        <v>32.799999999999997</v>
      </c>
      <c r="F10" s="10">
        <f>VLOOKUP($A10,Dataset!$A$1:$X$40,MATCH(F$5,Dataset!$A$1:$X$1,0),FALSE)</f>
        <v>16.100000000000001</v>
      </c>
      <c r="G10" s="2"/>
      <c r="H10" s="2"/>
      <c r="I10" s="2"/>
      <c r="J10" s="2"/>
      <c r="K10" s="2"/>
      <c r="L10" s="2"/>
      <c r="M10" s="2"/>
    </row>
    <row r="11" spans="1:13" ht="14.4" x14ac:dyDescent="0.3">
      <c r="A11" s="7" t="s">
        <v>12</v>
      </c>
      <c r="B11" s="10">
        <f>VLOOKUP($A11,Dataset!$A$1:$X$40,7,FALSE)</f>
        <v>11.6</v>
      </c>
      <c r="C11" s="10">
        <f>VLOOKUP($A11,Dataset!$A$1:$X$40,MATCH(C$5,Dataset!$A$1:$X$1,0),FALSE)</f>
        <v>35.200000000000003</v>
      </c>
      <c r="D11" s="10">
        <f>VLOOKUP($A11,Dataset!$A$1:$X$40,MATCH(D$5,Dataset!$A$1:$X$1,0),FALSE)</f>
        <v>21.3</v>
      </c>
      <c r="E11" s="10">
        <f>VLOOKUP($A11,Dataset!$A$1:$X$40,MATCH(E$5,Dataset!$A$1:$X$1,0),FALSE)</f>
        <v>43</v>
      </c>
      <c r="F11" s="10">
        <f>VLOOKUP($A11,Dataset!$A$1:$X$40,MATCH(F$5,Dataset!$A$1:$X$1,0),FALSE)</f>
        <v>21.3</v>
      </c>
      <c r="G11" s="2"/>
      <c r="H11" s="2"/>
      <c r="I11" s="2"/>
      <c r="J11" s="2"/>
      <c r="K11" s="2"/>
      <c r="L11" s="2"/>
      <c r="M11" s="2"/>
    </row>
    <row r="12" spans="1:13" ht="14.4" x14ac:dyDescent="0.3">
      <c r="A12" s="7" t="s">
        <v>14</v>
      </c>
      <c r="B12" s="10">
        <f>VLOOKUP($A12,Dataset!$A$1:$X$40,7,FALSE)</f>
        <v>18.399999999999999</v>
      </c>
      <c r="C12" s="10">
        <f>VLOOKUP($A12,Dataset!$A$1:$X$40,MATCH(C$5,Dataset!$A$1:$X$1,0),FALSE)</f>
        <v>55.6</v>
      </c>
      <c r="D12" s="10">
        <f>VLOOKUP($A12,Dataset!$A$1:$X$40,MATCH(D$5,Dataset!$A$1:$X$1,0),FALSE)</f>
        <v>33.799999999999997</v>
      </c>
      <c r="E12" s="10">
        <f>VLOOKUP($A12,Dataset!$A$1:$X$40,MATCH(E$5,Dataset!$A$1:$X$1,0),FALSE)</f>
        <v>67.900000000000006</v>
      </c>
      <c r="F12" s="10">
        <f>VLOOKUP($A12,Dataset!$A$1:$X$40,MATCH(F$5,Dataset!$A$1:$X$1,0),FALSE)</f>
        <v>33.799999999999997</v>
      </c>
      <c r="G12" s="2"/>
      <c r="H12" s="2"/>
      <c r="I12" s="2"/>
      <c r="J12" s="2"/>
      <c r="K12" s="2"/>
      <c r="L12" s="2"/>
      <c r="M12" s="2"/>
    </row>
    <row r="13" spans="1:13" ht="14.4" x14ac:dyDescent="0.3">
      <c r="A13" s="7" t="s">
        <v>15</v>
      </c>
      <c r="B13" s="10">
        <f>VLOOKUP($A13,Dataset!$A$1:$X$40,7,FALSE)</f>
        <v>0</v>
      </c>
      <c r="C13" s="10">
        <f>VLOOKUP($A13,Dataset!$A$1:$X$40,MATCH(C$5,Dataset!$A$1:$X$1,0),FALSE)</f>
        <v>0</v>
      </c>
      <c r="D13" s="10">
        <f>VLOOKUP($A13,Dataset!$A$1:$X$40,MATCH(D$5,Dataset!$A$1:$X$1,0),FALSE)</f>
        <v>0</v>
      </c>
      <c r="E13" s="10">
        <f>VLOOKUP($A13,Dataset!$A$1:$X$40,MATCH(E$5,Dataset!$A$1:$X$1,0),FALSE)</f>
        <v>0</v>
      </c>
      <c r="F13" s="10">
        <f>VLOOKUP($A13,Dataset!$A$1:$X$40,MATCH(F$5,Dataset!$A$1:$X$1,0),FALSE)</f>
        <v>0</v>
      </c>
      <c r="G13" s="2"/>
      <c r="H13" s="2"/>
      <c r="I13" s="2"/>
      <c r="J13" s="2"/>
      <c r="K13" s="2"/>
      <c r="L13" s="2"/>
      <c r="M13" s="2"/>
    </row>
    <row r="14" spans="1:13" ht="14.4" x14ac:dyDescent="0.3">
      <c r="A14" s="7" t="s">
        <v>16</v>
      </c>
      <c r="B14" s="10">
        <f>VLOOKUP($A14,Dataset!$A$1:$X$40,7,FALSE)</f>
        <v>21.9</v>
      </c>
      <c r="C14" s="10">
        <f>VLOOKUP($A14,Dataset!$A$1:$X$40,MATCH(C$5,Dataset!$A$1:$X$1,0),FALSE)</f>
        <v>61.5</v>
      </c>
      <c r="D14" s="10">
        <f>VLOOKUP($A14,Dataset!$A$1:$X$40,MATCH(D$5,Dataset!$A$1:$X$1,0),FALSE)</f>
        <v>40.1</v>
      </c>
      <c r="E14" s="10">
        <f>VLOOKUP($A14,Dataset!$A$1:$X$40,MATCH(E$5,Dataset!$A$1:$X$1,0),FALSE)</f>
        <v>76.599999999999994</v>
      </c>
      <c r="F14" s="10">
        <f>VLOOKUP($A14,Dataset!$A$1:$X$40,MATCH(F$5,Dataset!$A$1:$X$1,0),FALSE)</f>
        <v>40.1</v>
      </c>
      <c r="G14" s="2"/>
      <c r="H14" s="2"/>
      <c r="I14" s="2"/>
      <c r="J14" s="2"/>
      <c r="K14" s="2"/>
      <c r="L14" s="2"/>
      <c r="M14" s="2"/>
    </row>
    <row r="15" spans="1:13" ht="14.4" x14ac:dyDescent="0.3">
      <c r="A15" s="7" t="s">
        <v>18</v>
      </c>
      <c r="B15" s="10">
        <f>VLOOKUP($A15,Dataset!$A$1:$X$40,7,FALSE)</f>
        <v>26.8</v>
      </c>
      <c r="C15" s="10">
        <f>VLOOKUP($A15,Dataset!$A$1:$X$40,MATCH(C$5,Dataset!$A$1:$X$1,0),FALSE)</f>
        <v>79.599999999999994</v>
      </c>
      <c r="D15" s="10">
        <f>VLOOKUP($A15,Dataset!$A$1:$X$40,MATCH(D$5,Dataset!$A$1:$X$1,0),FALSE)</f>
        <v>47.9</v>
      </c>
      <c r="E15" s="10">
        <f>VLOOKUP($A15,Dataset!$A$1:$X$40,MATCH(E$5,Dataset!$A$1:$X$1,0),FALSE)</f>
        <v>96.8</v>
      </c>
      <c r="F15" s="10">
        <f>VLOOKUP($A15,Dataset!$A$1:$X$40,MATCH(F$5,Dataset!$A$1:$X$1,0),FALSE)</f>
        <v>47.9</v>
      </c>
      <c r="G15" s="2"/>
      <c r="H15" s="2"/>
      <c r="I15" s="2"/>
      <c r="J15" s="2"/>
      <c r="K15" s="2"/>
      <c r="L15" s="2"/>
      <c r="M15" s="2"/>
    </row>
    <row r="16" spans="1:13" ht="14.4" x14ac:dyDescent="0.3">
      <c r="A16" s="7" t="s">
        <v>20</v>
      </c>
      <c r="B16" s="10">
        <f>VLOOKUP($A16,Dataset!$A$1:$X$40,7,FALSE)</f>
        <v>28.5</v>
      </c>
      <c r="C16" s="10">
        <f>VLOOKUP($A16,Dataset!$A$1:$X$40,MATCH(C$5,Dataset!$A$1:$X$1,0),FALSE)</f>
        <v>85.4</v>
      </c>
      <c r="D16" s="10">
        <f>VLOOKUP($A16,Dataset!$A$1:$X$40,MATCH(D$5,Dataset!$A$1:$X$1,0),FALSE)</f>
        <v>52.3</v>
      </c>
      <c r="E16" s="10">
        <f>VLOOKUP($A16,Dataset!$A$1:$X$40,MATCH(E$5,Dataset!$A$1:$X$1,0),FALSE)</f>
        <v>106.1</v>
      </c>
      <c r="F16" s="10">
        <f>VLOOKUP($A16,Dataset!$A$1:$X$40,MATCH(F$5,Dataset!$A$1:$X$1,0),FALSE)</f>
        <v>52.3</v>
      </c>
      <c r="G16" s="2"/>
      <c r="H16" s="2"/>
      <c r="I16" s="2"/>
      <c r="J16" s="2"/>
      <c r="K16" s="2"/>
      <c r="L16" s="2"/>
      <c r="M16" s="2"/>
    </row>
    <row r="17" spans="1:13" ht="14.4" x14ac:dyDescent="0.3">
      <c r="A17" s="7" t="s">
        <v>22</v>
      </c>
      <c r="B17" s="10">
        <f>VLOOKUP($A17,Dataset!$A$1:$X$40,7,FALSE)</f>
        <v>30.7</v>
      </c>
      <c r="C17" s="10">
        <f>VLOOKUP($A17,Dataset!$A$1:$X$40,MATCH(C$5,Dataset!$A$1:$X$1,0),FALSE)</f>
        <v>92.1</v>
      </c>
      <c r="D17" s="10">
        <f>VLOOKUP($A17,Dataset!$A$1:$X$40,MATCH(D$5,Dataset!$A$1:$X$1,0),FALSE)</f>
        <v>57</v>
      </c>
      <c r="E17" s="10">
        <f>VLOOKUP($A17,Dataset!$A$1:$X$40,MATCH(E$5,Dataset!$A$1:$X$1,0),FALSE)</f>
        <v>115.1</v>
      </c>
      <c r="F17" s="10">
        <f>VLOOKUP($A17,Dataset!$A$1:$X$40,MATCH(F$5,Dataset!$A$1:$X$1,0),FALSE)</f>
        <v>57</v>
      </c>
      <c r="G17" s="2"/>
      <c r="H17" s="2"/>
      <c r="I17" s="2"/>
      <c r="J17" s="2"/>
      <c r="K17" s="2"/>
      <c r="L17" s="2"/>
      <c r="M17" s="2"/>
    </row>
    <row r="18" spans="1:13" ht="14.4" x14ac:dyDescent="0.3">
      <c r="A18" s="7" t="s">
        <v>23</v>
      </c>
      <c r="B18" s="10">
        <f>VLOOKUP($A18,Dataset!$A$1:$X$40,7,FALSE)</f>
        <v>33.799999999999997</v>
      </c>
      <c r="C18" s="10">
        <f>VLOOKUP($A18,Dataset!$A$1:$X$40,MATCH(C$5,Dataset!$A$1:$X$1,0),FALSE)</f>
        <v>101.3</v>
      </c>
      <c r="D18" s="10">
        <f>VLOOKUP($A18,Dataset!$A$1:$X$40,MATCH(D$5,Dataset!$A$1:$X$1,0),FALSE)</f>
        <v>61.4</v>
      </c>
      <c r="E18" s="10">
        <f>VLOOKUP($A18,Dataset!$A$1:$X$40,MATCH(E$5,Dataset!$A$1:$X$1,0),FALSE)</f>
        <v>124.4</v>
      </c>
      <c r="F18" s="10">
        <f>VLOOKUP($A18,Dataset!$A$1:$X$40,MATCH(F$5,Dataset!$A$1:$X$1,0),FALSE)</f>
        <v>61.4</v>
      </c>
      <c r="G18" s="2"/>
      <c r="H18" s="2"/>
      <c r="I18" s="2"/>
      <c r="J18" s="2"/>
      <c r="K18" s="2"/>
      <c r="L18" s="2"/>
      <c r="M18" s="2"/>
    </row>
    <row r="19" spans="1:13" ht="14.4" x14ac:dyDescent="0.3">
      <c r="A19" s="7" t="s">
        <v>24</v>
      </c>
      <c r="B19" s="10">
        <f>VLOOKUP($A19,Dataset!$A$1:$X$40,7,FALSE)</f>
        <v>34.700000000000003</v>
      </c>
      <c r="C19" s="10">
        <f>VLOOKUP($A19,Dataset!$A$1:$X$40,MATCH(C$5,Dataset!$A$1:$X$1,0),FALSE)</f>
        <v>106.1</v>
      </c>
      <c r="D19" s="10">
        <f>VLOOKUP($A19,Dataset!$A$1:$X$40,MATCH(D$5,Dataset!$A$1:$X$1,0),FALSE)</f>
        <v>63.6</v>
      </c>
      <c r="E19" s="10">
        <f>VLOOKUP($A19,Dataset!$A$1:$X$40,MATCH(E$5,Dataset!$A$1:$X$1,0),FALSE)</f>
        <v>128.6</v>
      </c>
      <c r="F19" s="10">
        <f>VLOOKUP($A19,Dataset!$A$1:$X$40,MATCH(F$5,Dataset!$A$1:$X$1,0),FALSE)</f>
        <v>63.6</v>
      </c>
      <c r="G19" s="2"/>
      <c r="H19" s="2"/>
      <c r="I19" s="2"/>
      <c r="J19" s="2"/>
      <c r="K19" s="2"/>
      <c r="L19" s="2"/>
      <c r="M19" s="2"/>
    </row>
    <row r="20" spans="1:13" ht="14.4" x14ac:dyDescent="0.3">
      <c r="A20" s="7" t="s">
        <v>28</v>
      </c>
      <c r="B20" s="10">
        <f>VLOOKUP($A20,Dataset!$A$1:$X$40,7,FALSE)</f>
        <v>0</v>
      </c>
      <c r="C20" s="10">
        <f>VLOOKUP($A20,Dataset!$A$1:$X$40,MATCH(C$5,Dataset!$A$1:$X$1,0),FALSE)</f>
        <v>0</v>
      </c>
      <c r="D20" s="10">
        <f>VLOOKUP($A20,Dataset!$A$1:$X$40,MATCH(D$5,Dataset!$A$1:$X$1,0),FALSE)</f>
        <v>0</v>
      </c>
      <c r="E20" s="10">
        <f>VLOOKUP($A20,Dataset!$A$1:$X$40,MATCH(E$5,Dataset!$A$1:$X$1,0),FALSE)</f>
        <v>0</v>
      </c>
      <c r="F20" s="10">
        <f>VLOOKUP($A20,Dataset!$A$1:$X$40,MATCH(F$5,Dataset!$A$1:$X$1,0),FALSE)</f>
        <v>0</v>
      </c>
      <c r="G20" s="2"/>
      <c r="H20" s="2"/>
      <c r="I20" s="2"/>
      <c r="J20" s="2"/>
      <c r="K20" s="2"/>
      <c r="L20" s="2"/>
      <c r="M20" s="2"/>
    </row>
    <row r="21" spans="1:13" ht="14.4" x14ac:dyDescent="0.3">
      <c r="A21" s="7" t="s">
        <v>56</v>
      </c>
      <c r="B21" s="10">
        <f>VLOOKUP($A21,Dataset!$A$1:$X$40,7,FALSE)</f>
        <v>41.3</v>
      </c>
      <c r="C21" s="10">
        <f>VLOOKUP($A21,Dataset!$A$1:$X$40,MATCH(C$5,Dataset!$A$1:$X$1,0),FALSE)</f>
        <v>124.4</v>
      </c>
      <c r="D21" s="10">
        <f>VLOOKUP($A21,Dataset!$A$1:$X$40,MATCH(D$5,Dataset!$A$1:$X$1,0),FALSE)</f>
        <v>75</v>
      </c>
      <c r="E21" s="10">
        <f>VLOOKUP($A21,Dataset!$A$1:$X$40,MATCH(E$5,Dataset!$A$1:$X$1,0),FALSE)</f>
        <v>151.5</v>
      </c>
      <c r="F21" s="10">
        <f>VLOOKUP($A21,Dataset!$A$1:$X$40,MATCH(F$5,Dataset!$A$1:$X$1,0),FALSE)</f>
        <v>75</v>
      </c>
      <c r="G21" s="2"/>
      <c r="H21" s="2"/>
      <c r="I21" s="2"/>
      <c r="J21" s="2"/>
      <c r="K21" s="2"/>
      <c r="L21" s="2"/>
      <c r="M21" s="2"/>
    </row>
    <row r="22" spans="1:13" ht="14.4" x14ac:dyDescent="0.3">
      <c r="A22" s="7" t="s">
        <v>57</v>
      </c>
      <c r="B22" s="10">
        <f>VLOOKUP($A22,Dataset!$A$1:$X$40,7,FALSE)</f>
        <v>-1</v>
      </c>
      <c r="C22" s="10">
        <f>VLOOKUP($A22,Dataset!$A$1:$X$40,MATCH(C$5,Dataset!$A$1:$X$1,0),FALSE)</f>
        <v>-1</v>
      </c>
      <c r="D22" s="10">
        <f>VLOOKUP($A22,Dataset!$A$1:$X$40,MATCH(D$5,Dataset!$A$1:$X$1,0),FALSE)</f>
        <v>-1</v>
      </c>
      <c r="E22" s="10">
        <f>VLOOKUP($A22,Dataset!$A$1:$X$40,MATCH(E$5,Dataset!$A$1:$X$1,0),FALSE)</f>
        <v>-1</v>
      </c>
      <c r="F22" s="10">
        <f>VLOOKUP($A22,Dataset!$A$1:$X$40,MATCH(F$5,Dataset!$A$1:$X$1,0),FALSE)</f>
        <v>-1</v>
      </c>
      <c r="G22" s="2"/>
      <c r="H22" s="2"/>
      <c r="I22" s="2"/>
      <c r="J22" s="2"/>
      <c r="K22" s="2"/>
      <c r="L22" s="2"/>
      <c r="M22" s="2"/>
    </row>
    <row r="23" spans="1:13" ht="14.4" x14ac:dyDescent="0.3">
      <c r="A23" s="7" t="s">
        <v>31</v>
      </c>
      <c r="B23" s="10">
        <f>VLOOKUP($A23,Dataset!$A$1:$X$40,7,FALSE)</f>
        <v>45</v>
      </c>
      <c r="C23" s="10">
        <f>VLOOKUP($A23,Dataset!$A$1:$X$40,MATCH(C$5,Dataset!$A$1:$X$1,0),FALSE)</f>
        <v>133.4</v>
      </c>
      <c r="D23" s="10">
        <f>VLOOKUP($A23,Dataset!$A$1:$X$40,MATCH(D$5,Dataset!$A$1:$X$1,0),FALSE)</f>
        <v>79.400000000000006</v>
      </c>
      <c r="E23" s="10">
        <f>VLOOKUP($A23,Dataset!$A$1:$X$40,MATCH(E$5,Dataset!$A$1:$X$1,0),FALSE)</f>
        <v>160.9</v>
      </c>
      <c r="F23" s="10">
        <f>VLOOKUP($A23,Dataset!$A$1:$X$40,MATCH(F$5,Dataset!$A$1:$X$1,0),FALSE)</f>
        <v>79.400000000000006</v>
      </c>
      <c r="G23" s="2"/>
      <c r="H23" s="2"/>
      <c r="I23" s="2"/>
      <c r="J23" s="2"/>
      <c r="K23" s="2"/>
      <c r="L23" s="2"/>
      <c r="M23" s="2"/>
    </row>
    <row r="24" spans="1:13" ht="14.4" x14ac:dyDescent="0.3">
      <c r="A24" s="7" t="s">
        <v>32</v>
      </c>
      <c r="B24" s="10">
        <f>VLOOKUP($A24,Dataset!$A$1:$X$40,7,FALSE)</f>
        <v>-1</v>
      </c>
      <c r="C24" s="10">
        <f>VLOOKUP($A24,Dataset!$A$1:$X$40,MATCH(C$5,Dataset!$A$1:$X$1,0),FALSE)</f>
        <v>-1</v>
      </c>
      <c r="D24" s="10">
        <f>VLOOKUP($A24,Dataset!$A$1:$X$40,MATCH(D$5,Dataset!$A$1:$X$1,0),FALSE)</f>
        <v>-1</v>
      </c>
      <c r="E24" s="10">
        <f>VLOOKUP($A24,Dataset!$A$1:$X$40,MATCH(E$5,Dataset!$A$1:$X$1,0),FALSE)</f>
        <v>-1</v>
      </c>
      <c r="F24" s="10">
        <f>VLOOKUP($A24,Dataset!$A$1:$X$40,MATCH(F$5,Dataset!$A$1:$X$1,0),FALSE)</f>
        <v>-1</v>
      </c>
      <c r="G24" s="2"/>
      <c r="H24" s="2"/>
      <c r="I24" s="2"/>
      <c r="J24" s="2"/>
      <c r="K24" s="2"/>
      <c r="L24" s="2"/>
      <c r="M24" s="2"/>
    </row>
    <row r="25" spans="1:13" ht="14.4" x14ac:dyDescent="0.3">
      <c r="A25" s="7" t="s">
        <v>34</v>
      </c>
      <c r="B25" s="10">
        <f>VLOOKUP($A25,Dataset!$A$1:$X$40,7,FALSE)</f>
        <v>43.3</v>
      </c>
      <c r="C25" s="10">
        <f>VLOOKUP($A25,Dataset!$A$1:$X$40,MATCH(C$5,Dataset!$A$1:$X$1,0),FALSE)</f>
        <v>128.6</v>
      </c>
      <c r="D25" s="10">
        <f>VLOOKUP($A25,Dataset!$A$1:$X$40,MATCH(D$5,Dataset!$A$1:$X$1,0),FALSE)</f>
        <v>79.400000000000006</v>
      </c>
      <c r="E25" s="10">
        <f>VLOOKUP($A25,Dataset!$A$1:$X$40,MATCH(E$5,Dataset!$A$1:$X$1,0),FALSE)</f>
        <v>160.9</v>
      </c>
      <c r="F25" s="10">
        <f>VLOOKUP($A25,Dataset!$A$1:$X$40,MATCH(F$5,Dataset!$A$1:$X$1,0),FALSE)</f>
        <v>79.400000000000006</v>
      </c>
      <c r="G25" s="2"/>
      <c r="H25" s="2"/>
      <c r="I25" s="2"/>
      <c r="J25" s="2"/>
      <c r="K25" s="2"/>
      <c r="L25" s="2"/>
      <c r="M25" s="2"/>
    </row>
    <row r="26" spans="1:13" ht="14.4" x14ac:dyDescent="0.3">
      <c r="A26" s="7" t="s">
        <v>37</v>
      </c>
      <c r="B26" s="10">
        <f>VLOOKUP($A26,Dataset!$A$1:$X$40,7,FALSE)</f>
        <v>49.1</v>
      </c>
      <c r="C26" s="10">
        <f>VLOOKUP($A26,Dataset!$A$1:$X$40,MATCH(C$5,Dataset!$A$1:$X$1,0),FALSE)</f>
        <v>146.80000000000001</v>
      </c>
      <c r="D26" s="10">
        <f>VLOOKUP($A26,Dataset!$A$1:$X$40,MATCH(D$5,Dataset!$A$1:$X$1,0),FALSE)</f>
        <v>90.9</v>
      </c>
      <c r="E26" s="10">
        <f>VLOOKUP($A26,Dataset!$A$1:$X$40,MATCH(E$5,Dataset!$A$1:$X$1,0),FALSE)</f>
        <v>183.5</v>
      </c>
      <c r="F26" s="10">
        <f>VLOOKUP($A26,Dataset!$A$1:$X$40,MATCH(F$5,Dataset!$A$1:$X$1,0),FALSE)</f>
        <v>90.9</v>
      </c>
      <c r="G26" s="2"/>
      <c r="H26" s="2"/>
      <c r="I26" s="2"/>
      <c r="J26" s="2"/>
      <c r="K26" s="2"/>
      <c r="L26" s="2"/>
      <c r="M26" s="2"/>
    </row>
    <row r="27" spans="1:13" ht="14.4" x14ac:dyDescent="0.3">
      <c r="A27" s="7" t="s">
        <v>39</v>
      </c>
      <c r="B27" s="10">
        <f>VLOOKUP($A27,Dataset!$A$1:$X$40,7,FALSE)</f>
        <v>51.8</v>
      </c>
      <c r="C27" s="10">
        <f>VLOOKUP($A27,Dataset!$A$1:$X$40,MATCH(C$5,Dataset!$A$1:$X$1,0),FALSE)</f>
        <v>156.4</v>
      </c>
      <c r="D27" s="10">
        <f>VLOOKUP($A27,Dataset!$A$1:$X$40,MATCH(D$5,Dataset!$A$1:$X$1,0),FALSE)</f>
        <v>93.1</v>
      </c>
      <c r="E27" s="10">
        <f>VLOOKUP($A27,Dataset!$A$1:$X$40,MATCH(E$5,Dataset!$A$1:$X$1,0),FALSE)</f>
        <v>188.1</v>
      </c>
      <c r="F27" s="10">
        <f>VLOOKUP($A27,Dataset!$A$1:$X$40,MATCH(F$5,Dataset!$A$1:$X$1,0),FALSE)</f>
        <v>93.1</v>
      </c>
      <c r="G27" s="2"/>
      <c r="H27" s="2"/>
      <c r="I27" s="2"/>
      <c r="J27" s="2"/>
      <c r="K27" s="2"/>
      <c r="L27" s="2"/>
      <c r="M27" s="2"/>
    </row>
    <row r="28" spans="1:13" ht="14.4" x14ac:dyDescent="0.3">
      <c r="A28" s="17" t="s">
        <v>81</v>
      </c>
      <c r="B28" s="38">
        <f>MIN(B6:B27)</f>
        <v>-1</v>
      </c>
      <c r="C28" s="38">
        <f t="shared" ref="C28:F28" si="0">MIN(C6:C27)</f>
        <v>-1</v>
      </c>
      <c r="D28" s="38">
        <f t="shared" si="0"/>
        <v>-1</v>
      </c>
      <c r="E28" s="38">
        <f t="shared" si="0"/>
        <v>-1</v>
      </c>
      <c r="F28" s="38">
        <f t="shared" si="0"/>
        <v>-1</v>
      </c>
      <c r="G28" s="2"/>
      <c r="H28" s="2"/>
      <c r="I28" s="2"/>
      <c r="J28" s="2"/>
      <c r="K28" s="2"/>
      <c r="L28" s="2"/>
      <c r="M28" s="2"/>
    </row>
    <row r="29" spans="1:13" ht="14.4" x14ac:dyDescent="0.3">
      <c r="A29" s="17" t="s">
        <v>82</v>
      </c>
      <c r="B29" s="38">
        <f>MAX(B6:B27)</f>
        <v>51.8</v>
      </c>
      <c r="C29" s="38">
        <f t="shared" ref="C29:F29" si="1">MAX(C6:C27)</f>
        <v>156.4</v>
      </c>
      <c r="D29" s="38">
        <f t="shared" si="1"/>
        <v>93.1</v>
      </c>
      <c r="E29" s="38">
        <f t="shared" si="1"/>
        <v>188.1</v>
      </c>
      <c r="F29" s="38">
        <f t="shared" si="1"/>
        <v>93.1</v>
      </c>
      <c r="G29" s="2"/>
      <c r="H29" s="2"/>
      <c r="I29" s="2"/>
      <c r="J29" s="2"/>
      <c r="K29" s="2"/>
      <c r="L29" s="2"/>
      <c r="M29" s="2"/>
    </row>
    <row r="30" spans="1:13" ht="14.4" x14ac:dyDescent="0.3">
      <c r="A30" s="17" t="s">
        <v>83</v>
      </c>
      <c r="B30" s="38">
        <f>AVERAGE(B6:B27)</f>
        <v>20.827272727272728</v>
      </c>
      <c r="C30" s="38">
        <f t="shared" ref="C30:F30" si="2">AVERAGE(C6:C27)</f>
        <v>62.377272727272725</v>
      </c>
      <c r="D30" s="38">
        <f t="shared" si="2"/>
        <v>37.800000000000004</v>
      </c>
      <c r="E30" s="38">
        <f t="shared" si="2"/>
        <v>76.418181818181822</v>
      </c>
      <c r="F30" s="38">
        <f t="shared" si="2"/>
        <v>37.800000000000004</v>
      </c>
      <c r="G30" s="2"/>
      <c r="H30" s="2"/>
      <c r="I30" s="2"/>
      <c r="J30" s="2"/>
      <c r="K30" s="2"/>
      <c r="L30" s="2"/>
      <c r="M30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AA5DA-23AB-4016-AF9E-1FD384AA063A}">
  <dimension ref="A1:J55"/>
  <sheetViews>
    <sheetView workbookViewId="0">
      <selection activeCell="G14" sqref="G14"/>
    </sheetView>
  </sheetViews>
  <sheetFormatPr defaultColWidth="11" defaultRowHeight="13.2" x14ac:dyDescent="0.3"/>
  <cols>
    <col min="1" max="1" width="39.77734375" style="1" bestFit="1" customWidth="1"/>
    <col min="2" max="16384" width="11" style="1"/>
  </cols>
  <sheetData>
    <row r="1" spans="1:10" s="32" customFormat="1" ht="21" x14ac:dyDescent="0.4">
      <c r="A1" s="33" t="s">
        <v>55</v>
      </c>
      <c r="B1" s="32" t="s">
        <v>173</v>
      </c>
    </row>
    <row r="2" spans="1:10" customFormat="1" x14ac:dyDescent="0.25"/>
    <row r="3" spans="1:10" s="2" customFormat="1" ht="14.4" x14ac:dyDescent="0.3">
      <c r="B3" s="1"/>
    </row>
    <row r="4" spans="1:10" s="2" customFormat="1" ht="14.4" x14ac:dyDescent="0.3">
      <c r="B4" s="1" t="s">
        <v>150</v>
      </c>
    </row>
    <row r="5" spans="1:10" ht="18" x14ac:dyDescent="0.35">
      <c r="A5" s="34" t="s">
        <v>52</v>
      </c>
      <c r="B5" s="31"/>
    </row>
    <row r="6" spans="1:10" ht="18" x14ac:dyDescent="0.35">
      <c r="A6" s="34" t="s">
        <v>152</v>
      </c>
      <c r="B6" s="31"/>
    </row>
    <row r="7" spans="1:10" ht="18" x14ac:dyDescent="0.35">
      <c r="A7" s="34"/>
      <c r="B7" s="31"/>
    </row>
    <row r="9" spans="1:10" ht="23.4" x14ac:dyDescent="0.45">
      <c r="A9" s="16" t="s">
        <v>164</v>
      </c>
      <c r="I9" s="2"/>
      <c r="J9" s="2"/>
    </row>
    <row r="10" spans="1:10" ht="14.4" x14ac:dyDescent="0.3">
      <c r="A10" s="25" t="s">
        <v>101</v>
      </c>
      <c r="B10" s="15" t="s">
        <v>48</v>
      </c>
      <c r="C10" s="15" t="s">
        <v>49</v>
      </c>
      <c r="D10" s="15" t="s">
        <v>50</v>
      </c>
      <c r="E10" s="15" t="s">
        <v>51</v>
      </c>
      <c r="F10" s="15" t="s">
        <v>53</v>
      </c>
      <c r="I10" s="2"/>
      <c r="J10" s="2"/>
    </row>
    <row r="11" spans="1:10" ht="14.4" x14ac:dyDescent="0.3">
      <c r="A11" s="8" t="s">
        <v>120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4" x14ac:dyDescent="0.45">
      <c r="A14" s="16" t="s">
        <v>161</v>
      </c>
    </row>
    <row r="15" spans="1:10" ht="14.4" x14ac:dyDescent="0.3">
      <c r="A15" s="12" t="s">
        <v>102</v>
      </c>
      <c r="B15" s="15" t="s">
        <v>48</v>
      </c>
      <c r="C15" s="13" t="s">
        <v>176</v>
      </c>
      <c r="D15" s="15" t="s">
        <v>50</v>
      </c>
      <c r="E15" s="13" t="s">
        <v>51</v>
      </c>
      <c r="F15" s="15" t="s">
        <v>53</v>
      </c>
    </row>
    <row r="16" spans="1:10" ht="14.4" x14ac:dyDescent="0.3">
      <c r="A16" s="7" t="s">
        <v>120</v>
      </c>
      <c r="B16" s="10" t="str">
        <f>LEFT(A16,FIND("-",A16)-1)</f>
        <v>20000</v>
      </c>
      <c r="C16" s="1" t="str">
        <f>MID(A16,FIND("-",A16)+1,FIND("-",A16,FIND("-",A16)+1)-1-FIND("-",A16))</f>
        <v>Monday</v>
      </c>
      <c r="D16" s="10" t="str">
        <f>MID(A16,FIND("-",A16,FIND("-",A16)+1)+1,FIND("-",A16,FIND("-",A16,FIND("-",A16)+1)+1)-1-FIND("-",A16,FIND("-",A16)+1))</f>
        <v>0</v>
      </c>
      <c r="E16" s="1" t="str">
        <f>MID(A16,FIND("-",A16,FIND("-",A16,FIND("-",A16)+1)+1)+1,FIND("-",A16,FIND("-",A16,FIND("-",A16,FIND("-",A16)+1)+1)+1)-1-FIND("-",A16,FIND("-",A16,FIND("-",A16)+1)+1))</f>
        <v>Sunday</v>
      </c>
      <c r="F16" s="10" t="str">
        <f>MID(A16,FIND("-",A16,FIND("-",A16,FIND("-",A16,FIND("-",A16)+1)+1)+1)+1,2)</f>
        <v>24</v>
      </c>
    </row>
    <row r="17" spans="1:6" ht="14.4" x14ac:dyDescent="0.3">
      <c r="A17" s="7" t="s">
        <v>121</v>
      </c>
      <c r="B17" s="10" t="str">
        <f t="shared" ref="B17:B54" si="0">LEFT(A17,FIND("-",A17)-1)</f>
        <v>20002</v>
      </c>
      <c r="C17" s="1" t="str">
        <f t="shared" ref="C17:C55" si="1">MID(A17,FIND("-",A17)+1,FIND("-",A17,FIND("-",A17)+1)-1-FIND("-",A17))</f>
        <v>Monday</v>
      </c>
      <c r="D17" s="10" t="str">
        <f t="shared" ref="D17:D55" si="2">MID(A17,FIND("-",A17,FIND("-",A17)+1)+1,FIND("-",A17,FIND("-",A17,FIND("-",A17)+1)+1)-1-FIND("-",A17,FIND("-",A17)+1))</f>
        <v>0</v>
      </c>
      <c r="E17" s="1" t="str">
        <f t="shared" ref="E17:E55" si="3">MID(A17,FIND("-",A17,FIND("-",A17,FIND("-",A17)+1)+1)+1,FIND("-",A17,FIND("-",A17,FIND("-",A17,FIND("-",A17)+1)+1)+1)-1-FIND("-",A17,FIND("-",A17,FIND("-",A17)+1)+1))</f>
        <v>Sunday</v>
      </c>
      <c r="F17" s="10" t="str">
        <f t="shared" ref="F17:F55" si="4">MID(A17,FIND("-",A17,FIND("-",A17,FIND("-",A17,FIND("-",A17)+1)+1)+1)+1,2)</f>
        <v>24</v>
      </c>
    </row>
    <row r="18" spans="1:6" ht="14.4" x14ac:dyDescent="0.3">
      <c r="A18" s="7" t="s">
        <v>122</v>
      </c>
      <c r="B18" s="10" t="str">
        <f t="shared" si="0"/>
        <v>20004</v>
      </c>
      <c r="C18" s="1" t="str">
        <f t="shared" si="1"/>
        <v>Monday</v>
      </c>
      <c r="D18" s="10" t="str">
        <f t="shared" si="2"/>
        <v>0</v>
      </c>
      <c r="E18" s="1" t="str">
        <f t="shared" si="3"/>
        <v>Sunday</v>
      </c>
      <c r="F18" s="10" t="str">
        <f t="shared" si="4"/>
        <v>24</v>
      </c>
    </row>
    <row r="19" spans="1:6" ht="14.4" x14ac:dyDescent="0.3">
      <c r="A19" s="7" t="s">
        <v>123</v>
      </c>
      <c r="B19" s="10" t="str">
        <f t="shared" si="0"/>
        <v>20006</v>
      </c>
      <c r="C19" s="1" t="str">
        <f t="shared" si="1"/>
        <v>Monday</v>
      </c>
      <c r="D19" s="10" t="str">
        <f t="shared" si="2"/>
        <v>0</v>
      </c>
      <c r="E19" s="1" t="str">
        <f t="shared" si="3"/>
        <v>Sunday</v>
      </c>
      <c r="F19" s="10" t="str">
        <f t="shared" si="4"/>
        <v>24</v>
      </c>
    </row>
    <row r="20" spans="1:6" ht="14.4" x14ac:dyDescent="0.3">
      <c r="A20" s="7" t="s">
        <v>124</v>
      </c>
      <c r="B20" s="10" t="str">
        <f t="shared" si="0"/>
        <v>20008</v>
      </c>
      <c r="C20" s="1" t="str">
        <f t="shared" si="1"/>
        <v>Monday</v>
      </c>
      <c r="D20" s="10" t="str">
        <f t="shared" si="2"/>
        <v>0</v>
      </c>
      <c r="E20" s="1" t="str">
        <f t="shared" si="3"/>
        <v>Sunday</v>
      </c>
      <c r="F20" s="10" t="str">
        <f t="shared" si="4"/>
        <v>24</v>
      </c>
    </row>
    <row r="21" spans="1:6" ht="14.4" x14ac:dyDescent="0.3">
      <c r="A21" s="7" t="s">
        <v>125</v>
      </c>
      <c r="B21" s="10" t="str">
        <f t="shared" si="0"/>
        <v>20010</v>
      </c>
      <c r="C21" s="1" t="str">
        <f t="shared" si="1"/>
        <v>Monday</v>
      </c>
      <c r="D21" s="10" t="str">
        <f t="shared" si="2"/>
        <v>0</v>
      </c>
      <c r="E21" s="1" t="str">
        <f t="shared" si="3"/>
        <v>Sunday</v>
      </c>
      <c r="F21" s="10" t="str">
        <f t="shared" si="4"/>
        <v>24</v>
      </c>
    </row>
    <row r="22" spans="1:6" ht="14.4" x14ac:dyDescent="0.3">
      <c r="A22" s="7" t="s">
        <v>126</v>
      </c>
      <c r="B22" s="10" t="str">
        <f t="shared" si="0"/>
        <v>20012</v>
      </c>
      <c r="C22" s="1" t="str">
        <f t="shared" si="1"/>
        <v>Monday</v>
      </c>
      <c r="D22" s="10" t="str">
        <f t="shared" si="2"/>
        <v>0</v>
      </c>
      <c r="E22" s="1" t="str">
        <f t="shared" si="3"/>
        <v>Sunday</v>
      </c>
      <c r="F22" s="10" t="str">
        <f t="shared" si="4"/>
        <v>24</v>
      </c>
    </row>
    <row r="23" spans="1:6" ht="14.4" x14ac:dyDescent="0.3">
      <c r="A23" s="7" t="s">
        <v>127</v>
      </c>
      <c r="B23" s="10" t="str">
        <f t="shared" si="0"/>
        <v>20014</v>
      </c>
      <c r="C23" s="1" t="str">
        <f t="shared" si="1"/>
        <v>Monday</v>
      </c>
      <c r="D23" s="10" t="str">
        <f t="shared" si="2"/>
        <v>0</v>
      </c>
      <c r="E23" s="1" t="str">
        <f t="shared" si="3"/>
        <v>Sunday</v>
      </c>
      <c r="F23" s="10" t="str">
        <f t="shared" si="4"/>
        <v>24</v>
      </c>
    </row>
    <row r="24" spans="1:6" ht="14.4" x14ac:dyDescent="0.3">
      <c r="A24" s="7" t="s">
        <v>128</v>
      </c>
      <c r="B24" s="10" t="str">
        <f t="shared" si="0"/>
        <v>20016</v>
      </c>
      <c r="C24" s="1" t="str">
        <f t="shared" si="1"/>
        <v>Monday</v>
      </c>
      <c r="D24" s="10" t="str">
        <f t="shared" si="2"/>
        <v>0</v>
      </c>
      <c r="E24" s="1" t="str">
        <f t="shared" si="3"/>
        <v>Sunday</v>
      </c>
      <c r="F24" s="10" t="str">
        <f t="shared" si="4"/>
        <v>24</v>
      </c>
    </row>
    <row r="25" spans="1:6" ht="14.4" x14ac:dyDescent="0.3">
      <c r="A25" s="7" t="s">
        <v>129</v>
      </c>
      <c r="B25" s="10" t="str">
        <f t="shared" si="0"/>
        <v>20018</v>
      </c>
      <c r="C25" s="1" t="str">
        <f t="shared" si="1"/>
        <v>Monday</v>
      </c>
      <c r="D25" s="10" t="str">
        <f t="shared" si="2"/>
        <v>0</v>
      </c>
      <c r="E25" s="1" t="str">
        <f t="shared" si="3"/>
        <v>Sunday</v>
      </c>
      <c r="F25" s="10" t="str">
        <f t="shared" si="4"/>
        <v>24</v>
      </c>
    </row>
    <row r="26" spans="1:6" ht="14.4" x14ac:dyDescent="0.3">
      <c r="A26" s="7" t="s">
        <v>130</v>
      </c>
      <c r="B26" s="10" t="str">
        <f t="shared" si="0"/>
        <v>20020</v>
      </c>
      <c r="C26" s="1" t="str">
        <f t="shared" si="1"/>
        <v>Monday</v>
      </c>
      <c r="D26" s="10" t="str">
        <f t="shared" si="2"/>
        <v>0</v>
      </c>
      <c r="E26" s="1" t="str">
        <f t="shared" si="3"/>
        <v>Sunday</v>
      </c>
      <c r="F26" s="10" t="str">
        <f t="shared" si="4"/>
        <v>24</v>
      </c>
    </row>
    <row r="27" spans="1:6" ht="14.4" x14ac:dyDescent="0.3">
      <c r="A27" s="7" t="s">
        <v>131</v>
      </c>
      <c r="B27" s="10" t="str">
        <f t="shared" si="0"/>
        <v>20022</v>
      </c>
      <c r="C27" s="1" t="str">
        <f t="shared" si="1"/>
        <v>Monday</v>
      </c>
      <c r="D27" s="10" t="str">
        <f t="shared" si="2"/>
        <v>0</v>
      </c>
      <c r="E27" s="1" t="str">
        <f t="shared" si="3"/>
        <v>Sunday</v>
      </c>
      <c r="F27" s="10" t="str">
        <f t="shared" si="4"/>
        <v>24</v>
      </c>
    </row>
    <row r="28" spans="1:6" ht="14.4" x14ac:dyDescent="0.3">
      <c r="A28" s="7" t="s">
        <v>132</v>
      </c>
      <c r="B28" s="10" t="str">
        <f t="shared" si="0"/>
        <v>20024</v>
      </c>
      <c r="C28" s="1" t="str">
        <f t="shared" si="1"/>
        <v>Monday</v>
      </c>
      <c r="D28" s="10" t="str">
        <f t="shared" si="2"/>
        <v>0</v>
      </c>
      <c r="E28" s="1" t="str">
        <f t="shared" si="3"/>
        <v>Sunday</v>
      </c>
      <c r="F28" s="10" t="str">
        <f t="shared" si="4"/>
        <v>24</v>
      </c>
    </row>
    <row r="29" spans="1:6" ht="14.4" x14ac:dyDescent="0.3">
      <c r="A29" s="7" t="s">
        <v>133</v>
      </c>
      <c r="B29" s="10" t="str">
        <f t="shared" si="0"/>
        <v>20026</v>
      </c>
      <c r="C29" s="1" t="str">
        <f t="shared" si="1"/>
        <v>Monday</v>
      </c>
      <c r="D29" s="10" t="str">
        <f t="shared" si="2"/>
        <v>0</v>
      </c>
      <c r="E29" s="1" t="str">
        <f t="shared" si="3"/>
        <v>Sunday</v>
      </c>
      <c r="F29" s="10" t="str">
        <f t="shared" si="4"/>
        <v>24</v>
      </c>
    </row>
    <row r="30" spans="1:6" ht="14.4" x14ac:dyDescent="0.3">
      <c r="A30" s="7" t="s">
        <v>134</v>
      </c>
      <c r="B30" s="10" t="str">
        <f t="shared" si="0"/>
        <v>20028</v>
      </c>
      <c r="C30" s="1" t="str">
        <f t="shared" si="1"/>
        <v>Monday</v>
      </c>
      <c r="D30" s="10" t="str">
        <f t="shared" si="2"/>
        <v>0</v>
      </c>
      <c r="E30" s="1" t="str">
        <f t="shared" si="3"/>
        <v>Sunday</v>
      </c>
      <c r="F30" s="10" t="str">
        <f t="shared" si="4"/>
        <v>24</v>
      </c>
    </row>
    <row r="31" spans="1:6" ht="14.4" x14ac:dyDescent="0.3">
      <c r="A31" s="7" t="s">
        <v>135</v>
      </c>
      <c r="B31" s="10" t="str">
        <f t="shared" si="0"/>
        <v>20030</v>
      </c>
      <c r="C31" s="1" t="str">
        <f t="shared" si="1"/>
        <v>Monday</v>
      </c>
      <c r="D31" s="10" t="str">
        <f t="shared" si="2"/>
        <v>0</v>
      </c>
      <c r="E31" s="1" t="str">
        <f t="shared" si="3"/>
        <v>Sunday</v>
      </c>
      <c r="F31" s="10" t="str">
        <f t="shared" si="4"/>
        <v>24</v>
      </c>
    </row>
    <row r="32" spans="1:6" ht="14.4" x14ac:dyDescent="0.3">
      <c r="A32" s="7" t="s">
        <v>136</v>
      </c>
      <c r="B32" s="10" t="str">
        <f t="shared" si="0"/>
        <v>20032</v>
      </c>
      <c r="C32" s="1" t="str">
        <f t="shared" si="1"/>
        <v>Monday</v>
      </c>
      <c r="D32" s="10" t="str">
        <f t="shared" si="2"/>
        <v>0</v>
      </c>
      <c r="E32" s="1" t="str">
        <f t="shared" si="3"/>
        <v>Sunday</v>
      </c>
      <c r="F32" s="10" t="str">
        <f t="shared" si="4"/>
        <v>24</v>
      </c>
    </row>
    <row r="33" spans="1:6" ht="14.4" x14ac:dyDescent="0.3">
      <c r="A33" s="7" t="s">
        <v>137</v>
      </c>
      <c r="B33" s="10" t="str">
        <f t="shared" si="0"/>
        <v>20034</v>
      </c>
      <c r="C33" s="1" t="str">
        <f t="shared" si="1"/>
        <v>Monday</v>
      </c>
      <c r="D33" s="10" t="str">
        <f t="shared" si="2"/>
        <v>0</v>
      </c>
      <c r="E33" s="1" t="str">
        <f t="shared" si="3"/>
        <v>Sunday</v>
      </c>
      <c r="F33" s="10" t="str">
        <f t="shared" si="4"/>
        <v>24</v>
      </c>
    </row>
    <row r="34" spans="1:6" ht="14.4" x14ac:dyDescent="0.3">
      <c r="A34" s="7" t="s">
        <v>138</v>
      </c>
      <c r="B34" s="10" t="str">
        <f t="shared" si="0"/>
        <v>20036</v>
      </c>
      <c r="C34" s="1" t="str">
        <f t="shared" si="1"/>
        <v>Monday</v>
      </c>
      <c r="D34" s="10" t="str">
        <f t="shared" si="2"/>
        <v>0</v>
      </c>
      <c r="E34" s="1" t="str">
        <f t="shared" si="3"/>
        <v>Sunday</v>
      </c>
      <c r="F34" s="10" t="str">
        <f t="shared" si="4"/>
        <v>24</v>
      </c>
    </row>
    <row r="35" spans="1:6" ht="14.4" x14ac:dyDescent="0.3">
      <c r="A35" s="7" t="s">
        <v>139</v>
      </c>
      <c r="B35" s="10" t="str">
        <f t="shared" si="0"/>
        <v>20038</v>
      </c>
      <c r="C35" s="1" t="str">
        <f t="shared" si="1"/>
        <v>Monday</v>
      </c>
      <c r="D35" s="10" t="str">
        <f t="shared" si="2"/>
        <v>0</v>
      </c>
      <c r="E35" s="1" t="str">
        <f t="shared" si="3"/>
        <v>Sunday</v>
      </c>
      <c r="F35" s="10" t="str">
        <f t="shared" si="4"/>
        <v>24</v>
      </c>
    </row>
    <row r="36" spans="1:6" ht="14.4" x14ac:dyDescent="0.3">
      <c r="A36" s="7" t="s">
        <v>140</v>
      </c>
      <c r="B36" s="10" t="str">
        <f t="shared" si="0"/>
        <v>20040</v>
      </c>
      <c r="C36" s="1" t="str">
        <f t="shared" si="1"/>
        <v>Monday</v>
      </c>
      <c r="D36" s="10" t="str">
        <f t="shared" si="2"/>
        <v>0</v>
      </c>
      <c r="E36" s="1" t="str">
        <f t="shared" si="3"/>
        <v>Sunday</v>
      </c>
      <c r="F36" s="10" t="str">
        <f t="shared" si="4"/>
        <v>24</v>
      </c>
    </row>
    <row r="37" spans="1:6" ht="14.4" x14ac:dyDescent="0.3">
      <c r="A37" s="7" t="s">
        <v>141</v>
      </c>
      <c r="B37" s="10" t="str">
        <f t="shared" si="0"/>
        <v>20042</v>
      </c>
      <c r="C37" s="1" t="str">
        <f t="shared" si="1"/>
        <v>Monday</v>
      </c>
      <c r="D37" s="10" t="str">
        <f t="shared" si="2"/>
        <v>0</v>
      </c>
      <c r="E37" s="1" t="str">
        <f t="shared" si="3"/>
        <v>Sunday</v>
      </c>
      <c r="F37" s="10" t="str">
        <f t="shared" si="4"/>
        <v>24</v>
      </c>
    </row>
    <row r="38" spans="1:6" ht="14.4" x14ac:dyDescent="0.3">
      <c r="A38" s="7" t="s">
        <v>142</v>
      </c>
      <c r="B38" s="10" t="str">
        <f t="shared" si="0"/>
        <v>20044</v>
      </c>
      <c r="C38" s="1" t="str">
        <f t="shared" si="1"/>
        <v>Monday</v>
      </c>
      <c r="D38" s="10" t="str">
        <f t="shared" si="2"/>
        <v>0</v>
      </c>
      <c r="E38" s="1" t="str">
        <f t="shared" si="3"/>
        <v>Sunday</v>
      </c>
      <c r="F38" s="10" t="str">
        <f t="shared" si="4"/>
        <v>24</v>
      </c>
    </row>
    <row r="39" spans="1:6" ht="14.4" x14ac:dyDescent="0.3">
      <c r="A39" s="7" t="s">
        <v>143</v>
      </c>
      <c r="B39" s="10" t="str">
        <f t="shared" si="0"/>
        <v>20046</v>
      </c>
      <c r="C39" s="1" t="str">
        <f t="shared" si="1"/>
        <v>Monday</v>
      </c>
      <c r="D39" s="10" t="str">
        <f t="shared" si="2"/>
        <v>0</v>
      </c>
      <c r="E39" s="1" t="str">
        <f t="shared" si="3"/>
        <v>Sunday</v>
      </c>
      <c r="F39" s="10" t="str">
        <f t="shared" si="4"/>
        <v>24</v>
      </c>
    </row>
    <row r="40" spans="1:6" ht="14.4" x14ac:dyDescent="0.3">
      <c r="A40" s="7" t="s">
        <v>144</v>
      </c>
      <c r="B40" s="10" t="str">
        <f t="shared" si="0"/>
        <v>20048</v>
      </c>
      <c r="C40" s="1" t="str">
        <f t="shared" si="1"/>
        <v>Monday</v>
      </c>
      <c r="D40" s="10" t="str">
        <f t="shared" si="2"/>
        <v>0</v>
      </c>
      <c r="E40" s="1" t="str">
        <f t="shared" si="3"/>
        <v>Sunday</v>
      </c>
      <c r="F40" s="10" t="str">
        <f t="shared" si="4"/>
        <v>24</v>
      </c>
    </row>
    <row r="41" spans="1:6" ht="14.4" x14ac:dyDescent="0.3">
      <c r="A41" s="7" t="s">
        <v>145</v>
      </c>
      <c r="B41" s="10" t="str">
        <f t="shared" si="0"/>
        <v>20050</v>
      </c>
      <c r="C41" s="1" t="str">
        <f t="shared" si="1"/>
        <v>Monday</v>
      </c>
      <c r="D41" s="10" t="str">
        <f t="shared" si="2"/>
        <v>0</v>
      </c>
      <c r="E41" s="1" t="str">
        <f t="shared" si="3"/>
        <v>Sunday</v>
      </c>
      <c r="F41" s="10" t="str">
        <f t="shared" si="4"/>
        <v>24</v>
      </c>
    </row>
    <row r="42" spans="1:6" ht="14.4" x14ac:dyDescent="0.3">
      <c r="A42" s="7" t="s">
        <v>146</v>
      </c>
      <c r="B42" s="10" t="str">
        <f t="shared" si="0"/>
        <v>20052</v>
      </c>
      <c r="C42" s="1" t="str">
        <f t="shared" si="1"/>
        <v>Monday</v>
      </c>
      <c r="D42" s="10" t="str">
        <f t="shared" si="2"/>
        <v>0</v>
      </c>
      <c r="E42" s="1" t="str">
        <f t="shared" si="3"/>
        <v>Sunday</v>
      </c>
      <c r="F42" s="10" t="str">
        <f t="shared" si="4"/>
        <v>24</v>
      </c>
    </row>
    <row r="43" spans="1:6" ht="14.4" x14ac:dyDescent="0.3">
      <c r="A43" s="7" t="s">
        <v>147</v>
      </c>
      <c r="B43" s="10" t="str">
        <f t="shared" si="0"/>
        <v>20054</v>
      </c>
      <c r="C43" s="1" t="str">
        <f t="shared" si="1"/>
        <v>Monday</v>
      </c>
      <c r="D43" s="10" t="str">
        <f t="shared" si="2"/>
        <v>0</v>
      </c>
      <c r="E43" s="1" t="str">
        <f t="shared" si="3"/>
        <v>Sunday</v>
      </c>
      <c r="F43" s="10" t="str">
        <f t="shared" si="4"/>
        <v>24</v>
      </c>
    </row>
    <row r="44" spans="1:6" ht="14.4" x14ac:dyDescent="0.3">
      <c r="A44" s="7" t="s">
        <v>148</v>
      </c>
      <c r="B44" s="10" t="str">
        <f t="shared" si="0"/>
        <v>20058</v>
      </c>
      <c r="C44" s="1" t="str">
        <f t="shared" si="1"/>
        <v>Monday</v>
      </c>
      <c r="D44" s="10" t="str">
        <f t="shared" si="2"/>
        <v>0</v>
      </c>
      <c r="E44" s="1" t="str">
        <f t="shared" si="3"/>
        <v>Sunday</v>
      </c>
      <c r="F44" s="10" t="str">
        <f t="shared" si="4"/>
        <v>24</v>
      </c>
    </row>
    <row r="45" spans="1:6" ht="14.4" x14ac:dyDescent="0.3">
      <c r="A45" s="7" t="s">
        <v>149</v>
      </c>
      <c r="B45" s="10" t="str">
        <f t="shared" si="0"/>
        <v>20060</v>
      </c>
      <c r="C45" s="1" t="str">
        <f t="shared" si="1"/>
        <v>Monday</v>
      </c>
      <c r="D45" s="10" t="str">
        <f t="shared" si="2"/>
        <v>0</v>
      </c>
      <c r="E45" s="1" t="str">
        <f t="shared" si="3"/>
        <v>Sunday</v>
      </c>
      <c r="F45" s="10" t="str">
        <f t="shared" si="4"/>
        <v>24</v>
      </c>
    </row>
    <row r="46" spans="1:6" ht="14.4" x14ac:dyDescent="0.3">
      <c r="A46" s="7" t="s">
        <v>111</v>
      </c>
      <c r="B46" s="10" t="str">
        <f t="shared" si="0"/>
        <v>21000</v>
      </c>
      <c r="C46" s="1" t="str">
        <f t="shared" si="1"/>
        <v>Monday</v>
      </c>
      <c r="D46" s="10" t="str">
        <f t="shared" si="2"/>
        <v>0</v>
      </c>
      <c r="E46" s="1" t="str">
        <f t="shared" si="3"/>
        <v>Sunday</v>
      </c>
      <c r="F46" s="10" t="str">
        <f t="shared" si="4"/>
        <v>24</v>
      </c>
    </row>
    <row r="47" spans="1:6" ht="14.4" x14ac:dyDescent="0.3">
      <c r="A47" s="7" t="s">
        <v>112</v>
      </c>
      <c r="B47" s="10" t="str">
        <f t="shared" si="0"/>
        <v>21002</v>
      </c>
      <c r="C47" s="1" t="str">
        <f t="shared" si="1"/>
        <v>Monday</v>
      </c>
      <c r="D47" s="10" t="str">
        <f t="shared" si="2"/>
        <v>0</v>
      </c>
      <c r="E47" s="1" t="str">
        <f t="shared" si="3"/>
        <v>Sunday</v>
      </c>
      <c r="F47" s="10" t="str">
        <f t="shared" si="4"/>
        <v>24</v>
      </c>
    </row>
    <row r="48" spans="1:6" ht="14.4" x14ac:dyDescent="0.3">
      <c r="A48" s="7" t="s">
        <v>113</v>
      </c>
      <c r="B48" s="10" t="str">
        <f t="shared" si="0"/>
        <v>21004</v>
      </c>
      <c r="C48" s="1" t="str">
        <f t="shared" si="1"/>
        <v>Monday</v>
      </c>
      <c r="D48" s="10" t="str">
        <f t="shared" si="2"/>
        <v>0</v>
      </c>
      <c r="E48" s="1" t="str">
        <f t="shared" si="3"/>
        <v>Sunday</v>
      </c>
      <c r="F48" s="10" t="str">
        <f t="shared" si="4"/>
        <v>24</v>
      </c>
    </row>
    <row r="49" spans="1:6" ht="14.4" x14ac:dyDescent="0.3">
      <c r="A49" s="7" t="s">
        <v>114</v>
      </c>
      <c r="B49" s="10" t="str">
        <f t="shared" si="0"/>
        <v>21006</v>
      </c>
      <c r="C49" s="1" t="str">
        <f t="shared" si="1"/>
        <v>Monday</v>
      </c>
      <c r="D49" s="10" t="str">
        <f t="shared" si="2"/>
        <v>0</v>
      </c>
      <c r="E49" s="1" t="str">
        <f t="shared" si="3"/>
        <v>Sunday</v>
      </c>
      <c r="F49" s="10" t="str">
        <f t="shared" si="4"/>
        <v>24</v>
      </c>
    </row>
    <row r="50" spans="1:6" ht="14.4" x14ac:dyDescent="0.3">
      <c r="A50" s="7" t="s">
        <v>115</v>
      </c>
      <c r="B50" s="10" t="str">
        <f t="shared" si="0"/>
        <v>21008</v>
      </c>
      <c r="C50" s="1" t="str">
        <f t="shared" si="1"/>
        <v>Monday</v>
      </c>
      <c r="D50" s="10" t="str">
        <f t="shared" si="2"/>
        <v>0</v>
      </c>
      <c r="E50" s="1" t="str">
        <f t="shared" si="3"/>
        <v>Sunday</v>
      </c>
      <c r="F50" s="10" t="str">
        <f t="shared" si="4"/>
        <v>24</v>
      </c>
    </row>
    <row r="51" spans="1:6" ht="14.4" x14ac:dyDescent="0.3">
      <c r="A51" s="7" t="s">
        <v>116</v>
      </c>
      <c r="B51" s="10" t="str">
        <f t="shared" si="0"/>
        <v>21010</v>
      </c>
      <c r="C51" s="1" t="str">
        <f t="shared" si="1"/>
        <v>Monday</v>
      </c>
      <c r="D51" s="10" t="str">
        <f t="shared" si="2"/>
        <v>0</v>
      </c>
      <c r="E51" s="1" t="str">
        <f t="shared" si="3"/>
        <v>Sunday</v>
      </c>
      <c r="F51" s="10" t="str">
        <f t="shared" si="4"/>
        <v>24</v>
      </c>
    </row>
    <row r="52" spans="1:6" ht="14.4" x14ac:dyDescent="0.3">
      <c r="A52" s="7" t="s">
        <v>117</v>
      </c>
      <c r="B52" s="10" t="str">
        <f t="shared" si="0"/>
        <v>21012</v>
      </c>
      <c r="C52" s="1" t="str">
        <f t="shared" si="1"/>
        <v>Monday</v>
      </c>
      <c r="D52" s="10" t="str">
        <f t="shared" si="2"/>
        <v>0</v>
      </c>
      <c r="E52" s="1" t="str">
        <f t="shared" si="3"/>
        <v>Sunday</v>
      </c>
      <c r="F52" s="10" t="str">
        <f t="shared" si="4"/>
        <v>24</v>
      </c>
    </row>
    <row r="53" spans="1:6" ht="14.4" x14ac:dyDescent="0.3">
      <c r="A53" s="7" t="s">
        <v>118</v>
      </c>
      <c r="B53" s="10" t="str">
        <f t="shared" si="0"/>
        <v>21014</v>
      </c>
      <c r="C53" s="1" t="str">
        <f t="shared" si="1"/>
        <v>Monday</v>
      </c>
      <c r="D53" s="10" t="str">
        <f t="shared" si="2"/>
        <v>0</v>
      </c>
      <c r="E53" s="1" t="str">
        <f t="shared" si="3"/>
        <v>Sunday</v>
      </c>
      <c r="F53" s="10" t="str">
        <f t="shared" si="4"/>
        <v>24</v>
      </c>
    </row>
    <row r="54" spans="1:6" ht="14.4" x14ac:dyDescent="0.3">
      <c r="A54" s="8" t="s">
        <v>119</v>
      </c>
      <c r="B54" s="10" t="str">
        <f t="shared" si="0"/>
        <v>21016</v>
      </c>
      <c r="C54" s="1" t="str">
        <f t="shared" si="1"/>
        <v>Monday</v>
      </c>
      <c r="D54" s="10" t="str">
        <f t="shared" si="2"/>
        <v>0</v>
      </c>
      <c r="E54" s="1" t="str">
        <f t="shared" si="3"/>
        <v>Sunday</v>
      </c>
      <c r="F54" s="10" t="str">
        <f t="shared" si="4"/>
        <v>24</v>
      </c>
    </row>
    <row r="55" spans="1:6" x14ac:dyDescent="0.3">
      <c r="A55" s="8" t="s">
        <v>177</v>
      </c>
      <c r="C55" s="1" t="str">
        <f t="shared" si="1"/>
        <v>Mony</v>
      </c>
      <c r="D55" s="10" t="str">
        <f t="shared" si="2"/>
        <v>1</v>
      </c>
      <c r="E55" s="1" t="str">
        <f t="shared" si="3"/>
        <v>Sundy</v>
      </c>
      <c r="F55" s="10" t="str">
        <f t="shared" si="4"/>
        <v>25</v>
      </c>
    </row>
  </sheetData>
  <phoneticPr fontId="1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E13" sqref="E13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33" t="s">
        <v>84</v>
      </c>
      <c r="B1" s="32" t="s">
        <v>166</v>
      </c>
    </row>
    <row r="2" spans="1:3" ht="18" x14ac:dyDescent="0.35">
      <c r="B2" s="31" t="s">
        <v>165</v>
      </c>
    </row>
    <row r="5" spans="1:3" ht="14.4" x14ac:dyDescent="0.3">
      <c r="B5" s="1" t="s">
        <v>150</v>
      </c>
    </row>
    <row r="6" spans="1:3" ht="14.4" x14ac:dyDescent="0.3">
      <c r="A6" s="3" t="s">
        <v>52</v>
      </c>
      <c r="B6" s="1"/>
    </row>
    <row r="7" spans="1:3" ht="14.4" x14ac:dyDescent="0.3">
      <c r="A7" s="3" t="s">
        <v>152</v>
      </c>
      <c r="B7" s="1"/>
    </row>
    <row r="10" spans="1:3" ht="23.4" x14ac:dyDescent="0.45">
      <c r="A10" s="16" t="s">
        <v>161</v>
      </c>
    </row>
    <row r="11" spans="1:3" ht="14.4" x14ac:dyDescent="0.3">
      <c r="A11" s="24" t="s">
        <v>85</v>
      </c>
      <c r="B11" s="15" t="s">
        <v>86</v>
      </c>
      <c r="C11" s="15" t="s">
        <v>87</v>
      </c>
    </row>
    <row r="12" spans="1:3" ht="14.4" x14ac:dyDescent="0.3">
      <c r="A12" s="24">
        <v>44927</v>
      </c>
      <c r="B12" s="15" t="s">
        <v>58</v>
      </c>
      <c r="C12" s="15">
        <v>200</v>
      </c>
    </row>
    <row r="13" spans="1:3" ht="14.4" x14ac:dyDescent="0.3">
      <c r="A13" s="24">
        <v>44928</v>
      </c>
      <c r="B13" s="15" t="s">
        <v>59</v>
      </c>
      <c r="C13" s="15">
        <v>20</v>
      </c>
    </row>
    <row r="14" spans="1:3" ht="14.4" x14ac:dyDescent="0.3">
      <c r="A14" s="24">
        <v>44929</v>
      </c>
      <c r="B14" s="15" t="s">
        <v>60</v>
      </c>
      <c r="C14" s="15">
        <v>50</v>
      </c>
    </row>
    <row r="15" spans="1:3" ht="14.4" x14ac:dyDescent="0.3">
      <c r="A15" s="24">
        <v>44930</v>
      </c>
      <c r="B15" s="15" t="s">
        <v>61</v>
      </c>
      <c r="C15" s="15">
        <v>20</v>
      </c>
    </row>
    <row r="16" spans="1:3" ht="14.4" x14ac:dyDescent="0.3">
      <c r="A16" s="24">
        <v>44931</v>
      </c>
      <c r="B16" s="15" t="s">
        <v>62</v>
      </c>
      <c r="C16" s="15">
        <v>10</v>
      </c>
    </row>
    <row r="17" spans="1:3" ht="14.4" x14ac:dyDescent="0.3">
      <c r="A17" s="24">
        <v>44932</v>
      </c>
      <c r="B17" s="15" t="s">
        <v>153</v>
      </c>
      <c r="C17" s="15">
        <v>150</v>
      </c>
    </row>
    <row r="18" spans="1:3" ht="14.4" x14ac:dyDescent="0.3">
      <c r="A18" s="24">
        <v>44933</v>
      </c>
      <c r="B18" s="15" t="s">
        <v>154</v>
      </c>
      <c r="C18" s="15">
        <v>80</v>
      </c>
    </row>
    <row r="19" spans="1:3" ht="14.4" x14ac:dyDescent="0.3">
      <c r="A19" s="24">
        <v>44934</v>
      </c>
      <c r="B19" s="15" t="s">
        <v>155</v>
      </c>
      <c r="C19" s="15">
        <v>20</v>
      </c>
    </row>
    <row r="20" spans="1:3" ht="14.4" x14ac:dyDescent="0.3">
      <c r="A20" s="24">
        <v>44935</v>
      </c>
      <c r="B20" s="15" t="s">
        <v>156</v>
      </c>
      <c r="C20" s="15">
        <v>30</v>
      </c>
    </row>
    <row r="21" spans="1:3" ht="14.4" x14ac:dyDescent="0.3">
      <c r="A21" s="24">
        <v>44936</v>
      </c>
      <c r="B21" s="15" t="s">
        <v>157</v>
      </c>
      <c r="C21" s="15">
        <v>20</v>
      </c>
    </row>
    <row r="22" spans="1:3" ht="14.4" x14ac:dyDescent="0.3">
      <c r="B22" s="15" t="s">
        <v>158</v>
      </c>
      <c r="C22" s="22" cm="1">
        <f t="array" ref="C22">SUM(_xlfn.IFNA(C12:C21,20))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O35"/>
  <sheetViews>
    <sheetView tabSelected="1" topLeftCell="A2" zoomScale="79" zoomScaleNormal="100" workbookViewId="0">
      <selection activeCell="C25" sqref="C25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5" ht="21" x14ac:dyDescent="0.4">
      <c r="A1" s="33" t="s">
        <v>97</v>
      </c>
      <c r="B1" s="32" t="s">
        <v>174</v>
      </c>
    </row>
    <row r="3" spans="1:15" ht="14.4" x14ac:dyDescent="0.3">
      <c r="B3" s="1" t="s">
        <v>150</v>
      </c>
    </row>
    <row r="4" spans="1:15" ht="18" x14ac:dyDescent="0.35">
      <c r="A4" s="34" t="s">
        <v>52</v>
      </c>
      <c r="B4" s="1"/>
    </row>
    <row r="5" spans="1:15" ht="18" x14ac:dyDescent="0.35">
      <c r="A5" s="34" t="s">
        <v>152</v>
      </c>
      <c r="B5" s="1"/>
    </row>
    <row r="6" spans="1:15" ht="14.4" x14ac:dyDescent="0.3">
      <c r="A6" s="3"/>
      <c r="B6" s="1"/>
    </row>
    <row r="8" spans="1:15" ht="23.4" x14ac:dyDescent="0.45">
      <c r="A8" s="16" t="s">
        <v>161</v>
      </c>
      <c r="N8" s="16" t="s">
        <v>162</v>
      </c>
    </row>
    <row r="9" spans="1:15" ht="14.4" x14ac:dyDescent="0.3">
      <c r="A9" s="23"/>
      <c r="B9" s="23" t="s">
        <v>88</v>
      </c>
      <c r="C9" s="23" t="s">
        <v>89</v>
      </c>
      <c r="D9" s="23" t="s">
        <v>90</v>
      </c>
      <c r="E9" s="23" t="s">
        <v>91</v>
      </c>
      <c r="F9" s="23" t="s">
        <v>92</v>
      </c>
      <c r="G9" s="23" t="s">
        <v>93</v>
      </c>
      <c r="H9" s="23" t="s">
        <v>94</v>
      </c>
      <c r="I9" s="23" t="s">
        <v>95</v>
      </c>
      <c r="J9" s="23" t="s">
        <v>96</v>
      </c>
      <c r="K9" s="22" t="s">
        <v>101</v>
      </c>
      <c r="L9" s="22" t="s">
        <v>43</v>
      </c>
      <c r="N9" s="17" t="s">
        <v>43</v>
      </c>
      <c r="O9" s="17" t="s">
        <v>98</v>
      </c>
    </row>
    <row r="10" spans="1:15" ht="14.4" x14ac:dyDescent="0.3">
      <c r="A10" s="23" t="s">
        <v>88</v>
      </c>
      <c r="B10" s="22">
        <v>-1</v>
      </c>
      <c r="C10" s="22">
        <v>95</v>
      </c>
      <c r="D10" s="22">
        <v>-1</v>
      </c>
      <c r="E10" s="22">
        <v>185</v>
      </c>
      <c r="F10" s="22">
        <v>255</v>
      </c>
      <c r="G10" s="22">
        <v>305</v>
      </c>
      <c r="H10" s="22">
        <v>415</v>
      </c>
      <c r="I10" s="22">
        <v>480</v>
      </c>
      <c r="J10" s="22">
        <v>525</v>
      </c>
      <c r="K10" s="22">
        <f>SUM(B10:J10)</f>
        <v>2258</v>
      </c>
      <c r="L10" s="22">
        <f>VLOOKUP(A10,CHOOSE({1,2},O9:O18,N9:N18),2,FALSE)</f>
        <v>10100</v>
      </c>
      <c r="N10" s="10">
        <v>10100</v>
      </c>
      <c r="O10" s="10" t="s">
        <v>88</v>
      </c>
    </row>
    <row r="11" spans="1:15" ht="14.4" x14ac:dyDescent="0.3">
      <c r="A11" s="23" t="s">
        <v>89</v>
      </c>
      <c r="B11" s="22">
        <v>95</v>
      </c>
      <c r="C11" s="22">
        <v>-1</v>
      </c>
      <c r="D11" s="22">
        <v>-1</v>
      </c>
      <c r="E11" s="22">
        <v>90</v>
      </c>
      <c r="F11" s="22">
        <v>160</v>
      </c>
      <c r="G11" s="22">
        <v>210</v>
      </c>
      <c r="H11" s="22">
        <v>325</v>
      </c>
      <c r="I11" s="22">
        <v>390</v>
      </c>
      <c r="J11" s="22">
        <v>430</v>
      </c>
      <c r="K11" s="22">
        <f t="shared" ref="K11:K18" si="0">SUM(B11:J11)</f>
        <v>1698</v>
      </c>
      <c r="L11" s="22">
        <f>VLOOKUP(A11,CHOOSE({1,2},O10:O19,N10:N19),2,FALSE)</f>
        <v>10102</v>
      </c>
      <c r="N11" s="10">
        <v>10102</v>
      </c>
      <c r="O11" s="10" t="s">
        <v>89</v>
      </c>
    </row>
    <row r="12" spans="1:15" ht="14.4" x14ac:dyDescent="0.3">
      <c r="A12" s="23" t="s">
        <v>90</v>
      </c>
      <c r="B12" s="22">
        <v>-1</v>
      </c>
      <c r="C12" s="22">
        <v>-1</v>
      </c>
      <c r="D12" s="22">
        <v>-1</v>
      </c>
      <c r="E12" s="22">
        <v>60</v>
      </c>
      <c r="F12" s="22">
        <v>130</v>
      </c>
      <c r="G12" s="22">
        <v>180</v>
      </c>
      <c r="H12" s="22">
        <v>295</v>
      </c>
      <c r="I12" s="22">
        <v>355</v>
      </c>
      <c r="J12" s="22">
        <v>400</v>
      </c>
      <c r="K12" s="22">
        <f t="shared" si="0"/>
        <v>1417</v>
      </c>
      <c r="L12" s="22">
        <f>VLOOKUP(A12,CHOOSE({1,2},O11:O20,N11:N20),2,FALSE)</f>
        <v>10104</v>
      </c>
      <c r="N12" s="10">
        <v>10104</v>
      </c>
      <c r="O12" s="10" t="s">
        <v>90</v>
      </c>
    </row>
    <row r="13" spans="1:15" ht="14.4" x14ac:dyDescent="0.3">
      <c r="A13" s="23" t="s">
        <v>91</v>
      </c>
      <c r="B13" s="22">
        <v>185</v>
      </c>
      <c r="C13" s="22">
        <v>90</v>
      </c>
      <c r="D13" s="22">
        <v>60</v>
      </c>
      <c r="E13" s="22">
        <v>-1</v>
      </c>
      <c r="F13" s="22">
        <v>70</v>
      </c>
      <c r="G13" s="22">
        <v>120</v>
      </c>
      <c r="H13" s="22">
        <v>235</v>
      </c>
      <c r="I13" s="22">
        <v>300</v>
      </c>
      <c r="J13" s="22">
        <v>340</v>
      </c>
      <c r="K13" s="22">
        <f t="shared" si="0"/>
        <v>1399</v>
      </c>
      <c r="L13" s="22">
        <f>VLOOKUP(A13,CHOOSE({1,2},O12:O21,N12:N21),2,FALSE)</f>
        <v>10106</v>
      </c>
      <c r="N13" s="10">
        <v>10106</v>
      </c>
      <c r="O13" s="10" t="s">
        <v>91</v>
      </c>
    </row>
    <row r="14" spans="1:15" ht="14.4" x14ac:dyDescent="0.3">
      <c r="A14" s="23" t="s">
        <v>92</v>
      </c>
      <c r="B14" s="22">
        <v>255</v>
      </c>
      <c r="C14" s="22">
        <v>160</v>
      </c>
      <c r="D14" s="22">
        <v>130</v>
      </c>
      <c r="E14" s="22">
        <v>70</v>
      </c>
      <c r="F14" s="22">
        <v>-1</v>
      </c>
      <c r="G14" s="22">
        <v>50</v>
      </c>
      <c r="H14" s="22">
        <v>165</v>
      </c>
      <c r="I14" s="22">
        <v>230</v>
      </c>
      <c r="J14" s="22">
        <v>270</v>
      </c>
      <c r="K14" s="22">
        <f t="shared" si="0"/>
        <v>1329</v>
      </c>
      <c r="L14" s="22">
        <f>VLOOKUP(A14,CHOOSE({1,2},O13:O22,N13:N22),2,FALSE)</f>
        <v>10108</v>
      </c>
      <c r="N14" s="10">
        <v>10108</v>
      </c>
      <c r="O14" s="10" t="s">
        <v>92</v>
      </c>
    </row>
    <row r="15" spans="1:15" ht="14.4" x14ac:dyDescent="0.3">
      <c r="A15" s="23" t="s">
        <v>93</v>
      </c>
      <c r="B15" s="22">
        <v>305</v>
      </c>
      <c r="C15" s="22">
        <v>210</v>
      </c>
      <c r="D15" s="22">
        <v>180</v>
      </c>
      <c r="E15" s="22">
        <v>120</v>
      </c>
      <c r="F15" s="22">
        <v>50</v>
      </c>
      <c r="G15" s="22">
        <v>-1</v>
      </c>
      <c r="H15" s="22">
        <v>115</v>
      </c>
      <c r="I15" s="22">
        <v>180</v>
      </c>
      <c r="J15" s="22">
        <v>220</v>
      </c>
      <c r="K15" s="22">
        <f t="shared" si="0"/>
        <v>1379</v>
      </c>
      <c r="L15" s="22">
        <f>VLOOKUP(A15,CHOOSE({1,2},O14:O23,N14:N23),2,FALSE)</f>
        <v>10110</v>
      </c>
      <c r="N15" s="10">
        <v>10110</v>
      </c>
      <c r="O15" s="10" t="s">
        <v>93</v>
      </c>
    </row>
    <row r="16" spans="1:15" ht="14.4" x14ac:dyDescent="0.3">
      <c r="A16" s="23" t="s">
        <v>94</v>
      </c>
      <c r="B16" s="22">
        <v>415</v>
      </c>
      <c r="C16" s="22">
        <v>325</v>
      </c>
      <c r="D16" s="22">
        <v>295</v>
      </c>
      <c r="E16" s="22">
        <v>235</v>
      </c>
      <c r="F16" s="22">
        <v>165</v>
      </c>
      <c r="G16" s="22">
        <v>115</v>
      </c>
      <c r="H16" s="22">
        <v>-1</v>
      </c>
      <c r="I16" s="22">
        <v>65</v>
      </c>
      <c r="J16" s="22">
        <v>105</v>
      </c>
      <c r="K16" s="22">
        <f t="shared" si="0"/>
        <v>1719</v>
      </c>
      <c r="L16" s="22">
        <f>VLOOKUP(A16,CHOOSE({1,2},O15:O24,N15:N24),2,FALSE)</f>
        <v>10112</v>
      </c>
      <c r="N16" s="10">
        <v>10112</v>
      </c>
      <c r="O16" s="10" t="s">
        <v>94</v>
      </c>
    </row>
    <row r="17" spans="1:15" ht="14.4" x14ac:dyDescent="0.3">
      <c r="A17" s="23" t="s">
        <v>95</v>
      </c>
      <c r="B17" s="22">
        <v>480</v>
      </c>
      <c r="C17" s="22">
        <v>390</v>
      </c>
      <c r="D17" s="22">
        <v>355</v>
      </c>
      <c r="E17" s="22">
        <v>300</v>
      </c>
      <c r="F17" s="22">
        <v>230</v>
      </c>
      <c r="G17" s="22">
        <v>180</v>
      </c>
      <c r="H17" s="22">
        <v>65</v>
      </c>
      <c r="I17" s="22">
        <v>-1</v>
      </c>
      <c r="J17" s="22">
        <v>40</v>
      </c>
      <c r="K17" s="22">
        <f t="shared" si="0"/>
        <v>2039</v>
      </c>
      <c r="L17" s="22">
        <f>VLOOKUP(A17,CHOOSE({1,2},O16:O25,N16:N25),2,FALSE)</f>
        <v>10114</v>
      </c>
      <c r="N17" s="10">
        <v>10114</v>
      </c>
      <c r="O17" s="10" t="s">
        <v>95</v>
      </c>
    </row>
    <row r="18" spans="1:15" ht="14.4" x14ac:dyDescent="0.3">
      <c r="A18" s="23" t="s">
        <v>96</v>
      </c>
      <c r="B18" s="22">
        <v>525</v>
      </c>
      <c r="C18" s="22">
        <v>430</v>
      </c>
      <c r="D18" s="22">
        <v>400</v>
      </c>
      <c r="E18" s="22">
        <v>340</v>
      </c>
      <c r="F18" s="22">
        <v>270</v>
      </c>
      <c r="G18" s="22">
        <v>220</v>
      </c>
      <c r="H18" s="22">
        <v>105</v>
      </c>
      <c r="I18" s="22">
        <v>40</v>
      </c>
      <c r="J18" s="22">
        <v>-1</v>
      </c>
      <c r="K18" s="22">
        <f t="shared" si="0"/>
        <v>2329</v>
      </c>
      <c r="L18" s="22">
        <f>VLOOKUP(A18,CHOOSE({1,2},O17:O26,N17:N26),2,FALSE)</f>
        <v>10116</v>
      </c>
      <c r="N18" s="11">
        <v>10116</v>
      </c>
      <c r="O18" s="11" t="s">
        <v>96</v>
      </c>
    </row>
    <row r="21" spans="1:15" ht="23.4" x14ac:dyDescent="0.45">
      <c r="A21" s="16" t="s">
        <v>167</v>
      </c>
    </row>
    <row r="22" spans="1:15" ht="14.4" x14ac:dyDescent="0.3">
      <c r="A22" s="12" t="s">
        <v>99</v>
      </c>
      <c r="B22" s="15" t="s">
        <v>100</v>
      </c>
      <c r="C22" s="14" t="s">
        <v>101</v>
      </c>
    </row>
    <row r="23" spans="1:15" ht="14.4" x14ac:dyDescent="0.3">
      <c r="A23" s="7">
        <v>10100</v>
      </c>
      <c r="B23" s="10">
        <v>10102</v>
      </c>
      <c r="C23" s="35" t="e">
        <f ca="1">_xlfn.XLOOKUP(A23,$L$10:$L$18,$K$10:$K$18)</f>
        <v>#NAME?</v>
      </c>
    </row>
    <row r="24" spans="1:15" ht="14.4" x14ac:dyDescent="0.3">
      <c r="A24" s="7">
        <v>10100</v>
      </c>
      <c r="B24" s="10">
        <v>10104</v>
      </c>
      <c r="C24" s="35">
        <f t="shared" ref="C24:C35" si="1">_xlfn.XLOOKUP(A24,$L$10:$L$18,$K$10:$K$18)</f>
        <v>2258</v>
      </c>
    </row>
    <row r="25" spans="1:15" ht="14.4" x14ac:dyDescent="0.3">
      <c r="A25" s="7">
        <v>10108</v>
      </c>
      <c r="B25" s="10">
        <v>10102</v>
      </c>
      <c r="C25" s="35" t="e">
        <f t="shared" ca="1" si="1"/>
        <v>#NAME?</v>
      </c>
    </row>
    <row r="26" spans="1:15" ht="14.4" x14ac:dyDescent="0.3">
      <c r="A26" s="7">
        <v>10100</v>
      </c>
      <c r="B26" s="10">
        <v>10106</v>
      </c>
      <c r="C26" s="35">
        <f t="shared" si="1"/>
        <v>2258</v>
      </c>
    </row>
    <row r="27" spans="1:15" ht="14.4" x14ac:dyDescent="0.3">
      <c r="A27" s="7">
        <v>10108</v>
      </c>
      <c r="B27" s="10">
        <v>10110</v>
      </c>
      <c r="C27" s="35">
        <f t="shared" si="1"/>
        <v>1329</v>
      </c>
    </row>
    <row r="28" spans="1:15" ht="14.4" x14ac:dyDescent="0.3">
      <c r="A28" s="7">
        <v>10102</v>
      </c>
      <c r="B28" s="10">
        <v>10104</v>
      </c>
      <c r="C28" s="35">
        <f t="shared" si="1"/>
        <v>1698</v>
      </c>
    </row>
    <row r="29" spans="1:15" ht="14.4" x14ac:dyDescent="0.3">
      <c r="A29" s="7">
        <v>10106</v>
      </c>
      <c r="B29" s="10">
        <v>10108</v>
      </c>
      <c r="C29" s="35">
        <f t="shared" si="1"/>
        <v>1399</v>
      </c>
    </row>
    <row r="30" spans="1:15" ht="14.4" x14ac:dyDescent="0.3">
      <c r="A30" s="7">
        <v>10102</v>
      </c>
      <c r="B30" s="10">
        <v>10106</v>
      </c>
      <c r="C30" s="35">
        <f t="shared" si="1"/>
        <v>1698</v>
      </c>
    </row>
    <row r="31" spans="1:15" ht="14.4" x14ac:dyDescent="0.3">
      <c r="A31" s="7">
        <v>10110</v>
      </c>
      <c r="B31" s="10">
        <v>10114</v>
      </c>
      <c r="C31" s="35">
        <f t="shared" si="1"/>
        <v>1379</v>
      </c>
    </row>
    <row r="32" spans="1:15" ht="14.4" x14ac:dyDescent="0.3">
      <c r="A32" s="7">
        <v>10104</v>
      </c>
      <c r="B32" s="10">
        <v>10106</v>
      </c>
      <c r="C32" s="35">
        <f t="shared" si="1"/>
        <v>1417</v>
      </c>
    </row>
    <row r="33" spans="1:3" ht="14.4" x14ac:dyDescent="0.3">
      <c r="A33" s="7">
        <v>10110</v>
      </c>
      <c r="B33" s="10">
        <v>10112</v>
      </c>
      <c r="C33" s="35">
        <f t="shared" si="1"/>
        <v>1379</v>
      </c>
    </row>
    <row r="34" spans="1:3" ht="14.4" x14ac:dyDescent="0.3">
      <c r="A34" s="7">
        <v>10100</v>
      </c>
      <c r="B34" s="10">
        <v>10114</v>
      </c>
      <c r="C34" s="35">
        <f t="shared" si="1"/>
        <v>2258</v>
      </c>
    </row>
    <row r="35" spans="1:3" ht="14.4" x14ac:dyDescent="0.3">
      <c r="A35" s="8">
        <v>10112</v>
      </c>
      <c r="B35" s="11">
        <v>10116</v>
      </c>
      <c r="C35" s="35">
        <f t="shared" si="1"/>
        <v>1719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 1</vt:lpstr>
      <vt:lpstr>Task 2</vt:lpstr>
      <vt:lpstr>Task 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Aryan monga</cp:lastModifiedBy>
  <dcterms:created xsi:type="dcterms:W3CDTF">2015-02-10T17:33:11Z</dcterms:created>
  <dcterms:modified xsi:type="dcterms:W3CDTF">2023-12-13T13:04:16Z</dcterms:modified>
</cp:coreProperties>
</file>